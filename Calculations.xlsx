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Георгий\Downloads\"/>
    </mc:Choice>
  </mc:AlternateContent>
  <xr:revisionPtr revIDLastSave="0" documentId="13_ncr:1_{C46D7AB2-4740-42FD-B6D2-A040E0F23D3A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період" sheetId="2" r:id="rId1"/>
    <sheet name="місяць" sheetId="16" r:id="rId2"/>
    <sheet name="Лист1" sheetId="3" r:id="rId3"/>
    <sheet name="усі" sheetId="4" r:id="rId4"/>
    <sheet name="мтф" sheetId="5" r:id="rId5"/>
    <sheet name="осг" sheetId="7" r:id="rId6"/>
    <sheet name="р. усі" sheetId="10" r:id="rId7"/>
    <sheet name="р. мтф" sheetId="11" r:id="rId8"/>
    <sheet name="діаграма" sheetId="18" r:id="rId9"/>
  </sheets>
  <definedNames>
    <definedName name="_xlnm._FilterDatabase" localSheetId="0" hidden="1">період!$A$1:$E$1738</definedName>
  </definedNames>
  <calcPr calcId="181029"/>
</workbook>
</file>

<file path=xl/calcChain.xml><?xml version="1.0" encoding="utf-8"?>
<calcChain xmlns="http://schemas.openxmlformats.org/spreadsheetml/2006/main">
  <c r="E1" i="3" l="1"/>
  <c r="D1" i="3"/>
  <c r="D3" i="3" s="1"/>
  <c r="AB2" i="3"/>
  <c r="AB1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3" i="3"/>
  <c r="AA4" i="3"/>
  <c r="AA5" i="3"/>
  <c r="AA6" i="3"/>
  <c r="AA7" i="3"/>
  <c r="AA8" i="3"/>
  <c r="AA9" i="3"/>
  <c r="AA10" i="3"/>
  <c r="AA11" i="3"/>
  <c r="AA12" i="3"/>
  <c r="AA2" i="3"/>
  <c r="AA1" i="3"/>
  <c r="E1" i="4"/>
  <c r="D1" i="4"/>
  <c r="D2" i="3" l="1"/>
  <c r="D4" i="3"/>
  <c r="AB3" i="3"/>
  <c r="AB4" i="3" s="1"/>
  <c r="AB5" i="3" s="1"/>
  <c r="AB6" i="3" s="1"/>
  <c r="AB7" i="3" s="1"/>
  <c r="AB8" i="3" s="1"/>
  <c r="AB9" i="3" s="1"/>
  <c r="AB10" i="3" s="1"/>
  <c r="AB11" i="3" s="1"/>
  <c r="AB12" i="3" s="1"/>
  <c r="AB13" i="3" s="1"/>
  <c r="AB14" i="3" s="1"/>
  <c r="AB15" i="3" s="1"/>
  <c r="AB16" i="3" s="1"/>
  <c r="AB17" i="3" s="1"/>
  <c r="AB18" i="3" s="1"/>
  <c r="AB19" i="3" s="1"/>
  <c r="AB20" i="3" s="1"/>
  <c r="AB21" i="3" s="1"/>
  <c r="AB22" i="3" s="1"/>
  <c r="AB23" i="3" s="1"/>
  <c r="AB24" i="3" s="1"/>
  <c r="AB25" i="3" s="1"/>
  <c r="AB26" i="3" s="1"/>
  <c r="AB27" i="3" s="1"/>
  <c r="AB28" i="3" s="1"/>
  <c r="AB29" i="3" s="1"/>
  <c r="AB30" i="3" s="1"/>
  <c r="AB31" i="3" s="1"/>
  <c r="AB32" i="3" s="1"/>
  <c r="AB33" i="3" s="1"/>
  <c r="AB34" i="3" s="1"/>
  <c r="AB35" i="3" s="1"/>
  <c r="AB36" i="3" s="1"/>
  <c r="F8" i="3"/>
  <c r="F1" i="7"/>
  <c r="E1" i="7"/>
  <c r="D1" i="7"/>
  <c r="F1" i="5"/>
  <c r="E1" i="5"/>
  <c r="D1" i="5"/>
  <c r="F1" i="3"/>
  <c r="E3" i="3"/>
  <c r="C2" i="18" s="1"/>
  <c r="E8" i="3"/>
  <c r="D8" i="3"/>
  <c r="H1" i="3"/>
  <c r="H12" i="4"/>
  <c r="I12" i="4"/>
  <c r="H21" i="4"/>
  <c r="I21" i="4"/>
  <c r="F1" i="4"/>
  <c r="K1" i="3"/>
  <c r="B1" i="18" l="1"/>
  <c r="F2" i="3"/>
  <c r="D1" i="18"/>
  <c r="F3" i="3"/>
  <c r="D2" i="18" s="1"/>
  <c r="F4" i="3"/>
  <c r="D3" i="18" s="1"/>
  <c r="E2" i="3"/>
  <c r="E4" i="3"/>
  <c r="C3" i="18" s="1"/>
  <c r="C1" i="18"/>
  <c r="G2" i="3" l="1"/>
  <c r="B2" i="18"/>
  <c r="B3" i="18"/>
  <c r="H2" i="3" l="1"/>
  <c r="N3" i="3" l="1"/>
  <c r="G4" i="3"/>
  <c r="H4" i="3"/>
  <c r="G3" i="3"/>
  <c r="H3" i="3"/>
  <c r="K2" i="3"/>
  <c r="J2" i="3"/>
  <c r="J3" i="3"/>
  <c r="J4" i="3"/>
  <c r="K4" i="3"/>
  <c r="K3" i="3"/>
  <c r="N4" i="3"/>
  <c r="D12" i="4"/>
  <c r="B25" i="10" s="1"/>
  <c r="D21" i="5"/>
  <c r="B25" i="11" s="1"/>
  <c r="D9" i="3"/>
  <c r="D5" i="5"/>
  <c r="B23" i="11" s="1"/>
  <c r="D10" i="5"/>
  <c r="D11" i="5"/>
  <c r="B14" i="11" s="1"/>
  <c r="D9" i="4"/>
  <c r="D10" i="4"/>
  <c r="D8" i="7"/>
  <c r="D7" i="4"/>
  <c r="B21" i="10" s="1"/>
  <c r="D9" i="7"/>
  <c r="D23" i="7"/>
  <c r="D17" i="7"/>
  <c r="D16" i="7"/>
  <c r="D8" i="5"/>
  <c r="D16" i="4"/>
  <c r="B2" i="10" s="1"/>
  <c r="D7" i="5"/>
  <c r="B22" i="11" s="1"/>
  <c r="D22" i="4"/>
  <c r="D25" i="5"/>
  <c r="B5" i="11" s="1"/>
  <c r="D15" i="5"/>
  <c r="B18" i="11" s="1"/>
  <c r="D4" i="7"/>
  <c r="D3" i="7"/>
  <c r="D7" i="7"/>
  <c r="D11" i="7"/>
  <c r="D10" i="7"/>
  <c r="D19" i="7"/>
  <c r="D9" i="5"/>
  <c r="D13" i="7"/>
  <c r="D11" i="4"/>
  <c r="B13" i="10" s="1"/>
  <c r="D17" i="5"/>
  <c r="D20" i="4"/>
  <c r="B12" i="10" s="1"/>
  <c r="D12" i="5"/>
  <c r="D20" i="5"/>
  <c r="B10" i="11" s="1"/>
  <c r="D24" i="5"/>
  <c r="D15" i="7"/>
  <c r="D23" i="4"/>
  <c r="B5" i="10" s="1"/>
  <c r="D6" i="4"/>
  <c r="D4" i="4"/>
  <c r="B19" i="10" s="1"/>
  <c r="D14" i="4"/>
  <c r="B17" i="10" s="1"/>
  <c r="D22" i="7"/>
  <c r="D6" i="5"/>
  <c r="B9" i="11" s="1"/>
  <c r="D14" i="7"/>
  <c r="D18" i="5"/>
  <c r="B11" i="11" s="1"/>
  <c r="D5" i="7"/>
  <c r="D24" i="4"/>
  <c r="B20" i="10" s="1"/>
  <c r="D2" i="4"/>
  <c r="D21" i="4"/>
  <c r="B22" i="10" s="1"/>
  <c r="D22" i="5"/>
  <c r="B4" i="11" s="1"/>
  <c r="D15" i="4"/>
  <c r="B10" i="10" s="1"/>
  <c r="D23" i="5"/>
  <c r="B3" i="11" s="1"/>
  <c r="D8" i="4"/>
  <c r="B23" i="10" s="1"/>
  <c r="D19" i="5"/>
  <c r="B8" i="11" s="1"/>
  <c r="D2" i="5"/>
  <c r="B6" i="11" s="1"/>
  <c r="D11" i="3"/>
  <c r="D19" i="4"/>
  <c r="B7" i="10" s="1"/>
  <c r="D6" i="7"/>
  <c r="D25" i="7"/>
  <c r="D4" i="5"/>
  <c r="B16" i="11" s="1"/>
  <c r="D25" i="4"/>
  <c r="B6" i="10" s="1"/>
  <c r="D17" i="4"/>
  <c r="B14" i="10" s="1"/>
  <c r="D13" i="5"/>
  <c r="B17" i="11" s="1"/>
  <c r="D18" i="7"/>
  <c r="D5" i="4"/>
  <c r="B24" i="10" s="1"/>
  <c r="D2" i="7"/>
  <c r="D14" i="5"/>
  <c r="B15" i="11" s="1"/>
  <c r="D24" i="7"/>
  <c r="D10" i="3"/>
  <c r="D16" i="5"/>
  <c r="D3" i="5"/>
  <c r="B12" i="11" s="1"/>
  <c r="D18" i="4"/>
  <c r="B16" i="10" s="1"/>
  <c r="D20" i="7"/>
  <c r="D13" i="4"/>
  <c r="B15" i="10" s="1"/>
  <c r="D3" i="4"/>
  <c r="E21" i="7"/>
  <c r="E8" i="4"/>
  <c r="E17" i="7"/>
  <c r="F17" i="7" s="1"/>
  <c r="E16" i="5"/>
  <c r="E13" i="7"/>
  <c r="E18" i="4"/>
  <c r="E19" i="4"/>
  <c r="E21" i="5"/>
  <c r="E6" i="4"/>
  <c r="E23" i="4"/>
  <c r="E16" i="7"/>
  <c r="E13" i="5"/>
  <c r="E2" i="5"/>
  <c r="F2" i="5" s="1"/>
  <c r="I2" i="5" s="1"/>
  <c r="E10" i="4"/>
  <c r="F10" i="3"/>
  <c r="E12" i="4"/>
  <c r="E7" i="4"/>
  <c r="E4" i="4"/>
  <c r="F4" i="4" s="1"/>
  <c r="E6" i="7"/>
  <c r="F6" i="7" s="1"/>
  <c r="F9" i="3"/>
  <c r="E3" i="7"/>
  <c r="F3" i="7" s="1"/>
  <c r="E5" i="5"/>
  <c r="E23" i="5"/>
  <c r="E3" i="5"/>
  <c r="E20" i="5"/>
  <c r="F20" i="5" s="1"/>
  <c r="E17" i="4"/>
  <c r="E2" i="7"/>
  <c r="F2" i="7" s="1"/>
  <c r="E20" i="7"/>
  <c r="E24" i="5"/>
  <c r="E19" i="7"/>
  <c r="F19" i="7" s="1"/>
  <c r="E7" i="7"/>
  <c r="E20" i="4"/>
  <c r="E10" i="5"/>
  <c r="E5" i="7"/>
  <c r="E6" i="5"/>
  <c r="F6" i="5" s="1"/>
  <c r="E9" i="4"/>
  <c r="E18" i="5"/>
  <c r="E22" i="5"/>
  <c r="F22" i="5" s="1"/>
  <c r="E15" i="4"/>
  <c r="E23" i="7"/>
  <c r="E11" i="3"/>
  <c r="E13" i="4"/>
  <c r="E14" i="7"/>
  <c r="D12" i="7"/>
  <c r="E9" i="3"/>
  <c r="E17" i="5"/>
  <c r="E8" i="7"/>
  <c r="E11" i="7"/>
  <c r="F11" i="7" s="1"/>
  <c r="E15" i="7"/>
  <c r="E9" i="5"/>
  <c r="E11" i="5"/>
  <c r="E18" i="7"/>
  <c r="E8" i="5"/>
  <c r="E4" i="7"/>
  <c r="E22" i="7"/>
  <c r="E10" i="3"/>
  <c r="E22" i="4"/>
  <c r="F11" i="3"/>
  <c r="D21" i="7"/>
  <c r="F21" i="7" s="1"/>
  <c r="E25" i="4"/>
  <c r="E19" i="5"/>
  <c r="E12" i="5"/>
  <c r="E7" i="5"/>
  <c r="E10" i="7"/>
  <c r="E14" i="4"/>
  <c r="E2" i="4"/>
  <c r="E24" i="7"/>
  <c r="E15" i="5"/>
  <c r="E12" i="7"/>
  <c r="E21" i="4"/>
  <c r="E16" i="4"/>
  <c r="E3" i="4"/>
  <c r="E25" i="5"/>
  <c r="E11" i="4"/>
  <c r="F11" i="4" s="1"/>
  <c r="E5" i="4"/>
  <c r="E14" i="5"/>
  <c r="E4" i="5"/>
  <c r="E24" i="4"/>
  <c r="E9" i="7"/>
  <c r="E25" i="7"/>
  <c r="F24" i="7" l="1"/>
  <c r="I24" i="7" s="1"/>
  <c r="F4" i="5"/>
  <c r="I4" i="5" s="1"/>
  <c r="F15" i="5"/>
  <c r="I15" i="5" s="1"/>
  <c r="F14" i="4"/>
  <c r="I14" i="4" s="1"/>
  <c r="F15" i="4"/>
  <c r="I15" i="4" s="1"/>
  <c r="F9" i="7"/>
  <c r="I9" i="7" s="1"/>
  <c r="F18" i="7"/>
  <c r="I18" i="7" s="1"/>
  <c r="F5" i="7"/>
  <c r="H5" i="7" s="1"/>
  <c r="F18" i="4"/>
  <c r="H18" i="4" s="1"/>
  <c r="F12" i="7"/>
  <c r="H12" i="7" s="1"/>
  <c r="I21" i="7"/>
  <c r="H21" i="7"/>
  <c r="F16" i="5"/>
  <c r="I16" i="5" s="1"/>
  <c r="F15" i="7"/>
  <c r="I15" i="7" s="1"/>
  <c r="F8" i="4"/>
  <c r="H8" i="4" s="1"/>
  <c r="F18" i="5"/>
  <c r="I18" i="5" s="1"/>
  <c r="F17" i="4"/>
  <c r="H17" i="4" s="1"/>
  <c r="F20" i="7"/>
  <c r="I20" i="7" s="1"/>
  <c r="F19" i="5"/>
  <c r="I19" i="5" s="1"/>
  <c r="M10" i="3"/>
  <c r="F22" i="7"/>
  <c r="I22" i="7" s="1"/>
  <c r="F12" i="5"/>
  <c r="H12" i="5" s="1"/>
  <c r="F10" i="7"/>
  <c r="H10" i="7" s="1"/>
  <c r="F2" i="4"/>
  <c r="I2" i="4" s="1"/>
  <c r="M9" i="3"/>
  <c r="F17" i="5"/>
  <c r="I17" i="5" s="1"/>
  <c r="F7" i="7"/>
  <c r="I7" i="7" s="1"/>
  <c r="F16" i="4"/>
  <c r="I16" i="4" s="1"/>
  <c r="F8" i="7"/>
  <c r="H8" i="7" s="1"/>
  <c r="F24" i="4"/>
  <c r="I24" i="4" s="1"/>
  <c r="F6" i="4"/>
  <c r="H6" i="4" s="1"/>
  <c r="F8" i="5"/>
  <c r="H8" i="5" s="1"/>
  <c r="F25" i="7"/>
  <c r="I25" i="7" s="1"/>
  <c r="F23" i="5"/>
  <c r="I23" i="5" s="1"/>
  <c r="F13" i="7"/>
  <c r="I13" i="7" s="1"/>
  <c r="F4" i="7"/>
  <c r="H4" i="7" s="1"/>
  <c r="F16" i="7"/>
  <c r="I16" i="7" s="1"/>
  <c r="F10" i="4"/>
  <c r="H10" i="4" s="1"/>
  <c r="F3" i="5"/>
  <c r="I3" i="5" s="1"/>
  <c r="F5" i="4"/>
  <c r="H5" i="4" s="1"/>
  <c r="F9" i="4"/>
  <c r="G10" i="3"/>
  <c r="B2" i="11"/>
  <c r="F14" i="7"/>
  <c r="I14" i="7" s="1"/>
  <c r="F24" i="5"/>
  <c r="H24" i="5" s="1"/>
  <c r="F9" i="5"/>
  <c r="I9" i="5" s="1"/>
  <c r="F23" i="7"/>
  <c r="H23" i="7" s="1"/>
  <c r="F3" i="4"/>
  <c r="H3" i="4" s="1"/>
  <c r="G11" i="3"/>
  <c r="F22" i="4"/>
  <c r="I22" i="4" s="1"/>
  <c r="F10" i="5"/>
  <c r="I10" i="5" s="1"/>
  <c r="H3" i="7"/>
  <c r="I3" i="7"/>
  <c r="I6" i="5"/>
  <c r="H6" i="5"/>
  <c r="I2" i="7"/>
  <c r="H2" i="7"/>
  <c r="H6" i="7"/>
  <c r="I6" i="7"/>
  <c r="H11" i="4"/>
  <c r="I11" i="4"/>
  <c r="I4" i="4"/>
  <c r="H4" i="4"/>
  <c r="H17" i="7"/>
  <c r="I17" i="7"/>
  <c r="H20" i="5"/>
  <c r="I20" i="5"/>
  <c r="H22" i="5"/>
  <c r="I22" i="5"/>
  <c r="H19" i="7"/>
  <c r="I19" i="7"/>
  <c r="H11" i="7"/>
  <c r="I11" i="7"/>
  <c r="H4" i="5"/>
  <c r="M11" i="3"/>
  <c r="B4" i="10"/>
  <c r="B20" i="11"/>
  <c r="B9" i="10"/>
  <c r="B19" i="11"/>
  <c r="K10" i="3"/>
  <c r="F14" i="5"/>
  <c r="F13" i="5"/>
  <c r="F25" i="4"/>
  <c r="F19" i="4"/>
  <c r="H2" i="5"/>
  <c r="F20" i="4"/>
  <c r="B13" i="11"/>
  <c r="B8" i="10"/>
  <c r="H9" i="3"/>
  <c r="F13" i="4"/>
  <c r="B7" i="11"/>
  <c r="H10" i="3"/>
  <c r="B24" i="11"/>
  <c r="F25" i="5"/>
  <c r="B3" i="10"/>
  <c r="F7" i="4"/>
  <c r="F11" i="5"/>
  <c r="F5" i="5"/>
  <c r="G9" i="3"/>
  <c r="B11" i="10"/>
  <c r="H11" i="3"/>
  <c r="F23" i="4"/>
  <c r="F21" i="5"/>
  <c r="K11" i="3"/>
  <c r="F7" i="5"/>
  <c r="B18" i="10"/>
  <c r="B21" i="11"/>
  <c r="H24" i="7" l="1"/>
  <c r="I3" i="4"/>
  <c r="H15" i="5"/>
  <c r="H9" i="7"/>
  <c r="H18" i="7"/>
  <c r="H14" i="4"/>
  <c r="H24" i="4"/>
  <c r="H15" i="7"/>
  <c r="H15" i="4"/>
  <c r="I24" i="5"/>
  <c r="H14" i="7"/>
  <c r="H16" i="7"/>
  <c r="H23" i="5"/>
  <c r="I18" i="4"/>
  <c r="H17" i="5"/>
  <c r="H20" i="7"/>
  <c r="H13" i="7"/>
  <c r="I12" i="7"/>
  <c r="I12" i="5"/>
  <c r="I8" i="4"/>
  <c r="H22" i="4"/>
  <c r="H18" i="5"/>
  <c r="H16" i="5"/>
  <c r="H7" i="7"/>
  <c r="H25" i="7"/>
  <c r="I8" i="7"/>
  <c r="H16" i="4"/>
  <c r="I17" i="4"/>
  <c r="H10" i="5"/>
  <c r="I5" i="4"/>
  <c r="I4" i="7"/>
  <c r="H22" i="7"/>
  <c r="J1" i="7"/>
  <c r="I23" i="7"/>
  <c r="I8" i="5"/>
  <c r="C24" i="11"/>
  <c r="H9" i="5"/>
  <c r="H19" i="5"/>
  <c r="C11" i="10"/>
  <c r="I6" i="4"/>
  <c r="I10" i="7"/>
  <c r="H3" i="5"/>
  <c r="H2" i="4"/>
  <c r="J1" i="4"/>
  <c r="H9" i="4"/>
  <c r="I9" i="4"/>
  <c r="I10" i="4"/>
  <c r="I5" i="7"/>
  <c r="C25" i="11"/>
  <c r="C12" i="10"/>
  <c r="C7" i="11"/>
  <c r="H7" i="5"/>
  <c r="I7" i="5"/>
  <c r="I5" i="5"/>
  <c r="H5" i="5"/>
  <c r="H13" i="4"/>
  <c r="I13" i="4"/>
  <c r="C9" i="10"/>
  <c r="C9" i="11"/>
  <c r="C14" i="11"/>
  <c r="C25" i="10"/>
  <c r="C18" i="11"/>
  <c r="C6" i="10"/>
  <c r="C21" i="10"/>
  <c r="C22" i="10"/>
  <c r="C24" i="10"/>
  <c r="I11" i="5"/>
  <c r="H11" i="5"/>
  <c r="I19" i="4"/>
  <c r="H19" i="4"/>
  <c r="C20" i="11"/>
  <c r="C4" i="11"/>
  <c r="C19" i="10"/>
  <c r="C23" i="10"/>
  <c r="C2" i="10"/>
  <c r="C22" i="11"/>
  <c r="C15" i="10"/>
  <c r="C13" i="11"/>
  <c r="H20" i="4"/>
  <c r="I20" i="4"/>
  <c r="C3" i="11"/>
  <c r="C8" i="10"/>
  <c r="I25" i="4"/>
  <c r="H25" i="4"/>
  <c r="C16" i="10"/>
  <c r="C12" i="11"/>
  <c r="C21" i="11"/>
  <c r="C18" i="10"/>
  <c r="I21" i="5"/>
  <c r="H21" i="5"/>
  <c r="H7" i="4"/>
  <c r="I7" i="4"/>
  <c r="C4" i="10"/>
  <c r="C10" i="10"/>
  <c r="H23" i="4"/>
  <c r="I23" i="4"/>
  <c r="C14" i="10"/>
  <c r="C3" i="10"/>
  <c r="E1" i="10"/>
  <c r="I13" i="5"/>
  <c r="H13" i="5"/>
  <c r="C5" i="11"/>
  <c r="C7" i="10"/>
  <c r="C10" i="11"/>
  <c r="C20" i="10"/>
  <c r="C17" i="10"/>
  <c r="J1" i="5"/>
  <c r="I25" i="5"/>
  <c r="H25" i="5"/>
  <c r="C2" i="11"/>
  <c r="I14" i="5"/>
  <c r="H14" i="5"/>
  <c r="E1" i="11"/>
  <c r="C11" i="11"/>
  <c r="C13" i="10"/>
  <c r="C8" i="11"/>
  <c r="C17" i="11"/>
  <c r="C19" i="11"/>
  <c r="C5" i="10"/>
  <c r="C16" i="11"/>
  <c r="C6" i="11"/>
  <c r="C23" i="11"/>
  <c r="C15" i="11"/>
  <c r="G1" i="10" l="1"/>
  <c r="H1" i="10" s="1"/>
  <c r="G1" i="11"/>
  <c r="H1" i="11" s="1"/>
</calcChain>
</file>

<file path=xl/sharedStrings.xml><?xml version="1.0" encoding="utf-8"?>
<sst xmlns="http://schemas.openxmlformats.org/spreadsheetml/2006/main" count="7583" uniqueCount="87">
  <si>
    <t>Територіальний розріз</t>
  </si>
  <si>
    <t>Розріз</t>
  </si>
  <si>
    <t>Вид господарства</t>
  </si>
  <si>
    <t>Донецька</t>
  </si>
  <si>
    <t>Підприємства</t>
  </si>
  <si>
    <t>Дніпропетровська</t>
  </si>
  <si>
    <t>Господарства населення</t>
  </si>
  <si>
    <t>Волинська</t>
  </si>
  <si>
    <t>Житомирська</t>
  </si>
  <si>
    <t>Господарства усіх категорій</t>
  </si>
  <si>
    <t>Вінницька</t>
  </si>
  <si>
    <t>Україна</t>
  </si>
  <si>
    <t>Київська</t>
  </si>
  <si>
    <t>Закарпатська</t>
  </si>
  <si>
    <t>Запорізька</t>
  </si>
  <si>
    <t>Івано-Франківська</t>
  </si>
  <si>
    <t>Кіровоградська</t>
  </si>
  <si>
    <t>Луганська</t>
  </si>
  <si>
    <t>Полтавська</t>
  </si>
  <si>
    <t>Миколаївська</t>
  </si>
  <si>
    <t>Одеська</t>
  </si>
  <si>
    <t>Львівська</t>
  </si>
  <si>
    <t>Сумська</t>
  </si>
  <si>
    <t>Рівненська</t>
  </si>
  <si>
    <t>Херсонська</t>
  </si>
  <si>
    <t>Чернівецька</t>
  </si>
  <si>
    <t>Черкаська</t>
  </si>
  <si>
    <t>Хмельницька</t>
  </si>
  <si>
    <t>Тернопільська</t>
  </si>
  <si>
    <t>Харківська</t>
  </si>
  <si>
    <t>Чернігівська</t>
  </si>
  <si>
    <t>Дата</t>
  </si>
  <si>
    <t>Поточна</t>
  </si>
  <si>
    <t>Попередня</t>
  </si>
  <si>
    <t>Минулорічна</t>
  </si>
  <si>
    <t>Рейтинг</t>
  </si>
  <si>
    <t>Джерело: Аналітичний відділ АВМ за попередніми даними Держстату*, **</t>
  </si>
  <si>
    <t>Виробництво, тис. т</t>
  </si>
  <si>
    <t>Молоко</t>
  </si>
  <si>
    <t>Період</t>
  </si>
  <si>
    <t>Місяць</t>
  </si>
  <si>
    <t>Ріст по областям</t>
  </si>
  <si>
    <t>Надій, тис. гол.</t>
  </si>
  <si>
    <t>Топ, тис. т</t>
  </si>
  <si>
    <t>Загальний, тис. т</t>
  </si>
  <si>
    <t>С-г підприємства</t>
  </si>
  <si>
    <t>*Дані наведено без урахування тимчасово окупованих російською федерацією територій та частини територій, на яких ведуться (велися)           бойові дії.</t>
  </si>
  <si>
    <t>**Донецька, Луганська, Херсонська -- дані не оприлюднюються згідно вимог ЗУ «Про офіційну статистику».</t>
  </si>
  <si>
    <t>больше 10 тис. т</t>
  </si>
  <si>
    <t>меньше 10 тис. т</t>
  </si>
  <si>
    <t>н/д</t>
  </si>
  <si>
    <t>Січ.-лис. 2025</t>
  </si>
  <si>
    <t>Січ.-жов. 2025</t>
  </si>
  <si>
    <t>Січ.-жов. 2024</t>
  </si>
  <si>
    <t>Січ.-лис. 2024</t>
  </si>
  <si>
    <t>Січ.-гру. 2024</t>
  </si>
  <si>
    <t>Січ.-гру. 2025</t>
  </si>
  <si>
    <t>26/26</t>
  </si>
  <si>
    <t>26/25</t>
  </si>
  <si>
    <t>Січ.-гру. 2023</t>
  </si>
  <si>
    <t>Січ.-гру. 2022</t>
  </si>
  <si>
    <t>Січ.-гру. 2021</t>
  </si>
  <si>
    <t>Січ.-січ. 2025</t>
  </si>
  <si>
    <t>6</t>
  </si>
  <si>
    <t>24</t>
  </si>
  <si>
    <t>Січ.-січ. 2026</t>
  </si>
  <si>
    <t xml:space="preserve">Харківська </t>
  </si>
  <si>
    <t>Херcонська</t>
  </si>
  <si>
    <t>місяць</t>
  </si>
  <si>
    <t>01.02.2026</t>
  </si>
  <si>
    <t>Січ.-лют. 2026</t>
  </si>
  <si>
    <t>Січ.-лют. 2025</t>
  </si>
  <si>
    <t>сііч. 26</t>
  </si>
  <si>
    <t>Січ.-бер. 2025</t>
  </si>
  <si>
    <t>Січ.-бер. 2026</t>
  </si>
  <si>
    <t>Січ.-кві. 2026</t>
  </si>
  <si>
    <t>Січ.-кві. 2025</t>
  </si>
  <si>
    <t>Січ.-тра. 2026</t>
  </si>
  <si>
    <t>Січ.-тра. 2025</t>
  </si>
  <si>
    <t>Січ.-чер. 2025</t>
  </si>
  <si>
    <t>Січ.-чер. 2026</t>
  </si>
  <si>
    <t>Січ.-лип. 2026</t>
  </si>
  <si>
    <t>Січ.-лип. 2025</t>
  </si>
  <si>
    <t>Січ.-сер. 2025</t>
  </si>
  <si>
    <t>Січ.-сер. 2026</t>
  </si>
  <si>
    <t>Січ.-вер. 2026</t>
  </si>
  <si>
    <t>Січ.-вер.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</si>
</sst>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[$-422]mmm/\ yyyy"/>
  </numFmts>
  <fonts count="11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indexed="8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8"/>
      <name val="Calibri"/>
      <family val="2"/>
      <scheme val="minor"/>
    </font>
    <font>
      <sz val="11"/>
      <color indexed="8"/>
      <name val="Calibri"/>
      <family val="2"/>
      <charset val="204"/>
      <scheme val="minor"/>
    </font>
    <font>
      <sz val="11"/>
      <color theme="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9" fontId="3" fillId="0" borderId="0" applyFont="0" applyFill="0" applyBorder="0" applyAlignment="0" applyProtection="0"/>
    <xf numFmtId="0" fontId="2" fillId="0" borderId="0"/>
    <xf numFmtId="9" fontId="6" fillId="0" borderId="0" applyFont="0" applyFill="0" applyBorder="0" applyAlignment="0" applyProtection="0"/>
    <xf numFmtId="0" fontId="6" fillId="0" borderId="0"/>
    <xf numFmtId="9" fontId="7" fillId="0" borderId="0" applyFont="0" applyFill="0" applyBorder="0" applyAlignment="0" applyProtection="0"/>
    <xf numFmtId="0" fontId="1" fillId="0" borderId="0"/>
  </cellStyleXfs>
  <cellXfs count="29">
    <xf numFmtId="0" fontId="0" fillId="0" borderId="0" xfId="0"/>
    <xf numFmtId="14" fontId="0" fillId="0" borderId="0" xfId="0" applyNumberFormat="1"/>
    <xf numFmtId="0" fontId="5" fillId="0" borderId="0" xfId="0" applyFont="1"/>
    <xf numFmtId="14" fontId="5" fillId="0" borderId="0" xfId="0" applyNumberFormat="1" applyFont="1"/>
    <xf numFmtId="164" fontId="0" fillId="0" borderId="0" xfId="0" applyNumberFormat="1"/>
    <xf numFmtId="9" fontId="0" fillId="0" borderId="0" xfId="0" applyNumberFormat="1"/>
    <xf numFmtId="10" fontId="0" fillId="0" borderId="0" xfId="0" applyNumberFormat="1"/>
    <xf numFmtId="1" fontId="0" fillId="0" borderId="0" xfId="0" applyNumberFormat="1"/>
    <xf numFmtId="165" fontId="0" fillId="0" borderId="0" xfId="0" applyNumberFormat="1"/>
    <xf numFmtId="9" fontId="0" fillId="0" borderId="0" xfId="1" applyFont="1"/>
    <xf numFmtId="0" fontId="2" fillId="0" borderId="0" xfId="2"/>
    <xf numFmtId="0" fontId="4" fillId="0" borderId="0" xfId="2" applyFont="1"/>
    <xf numFmtId="9" fontId="2" fillId="0" borderId="0" xfId="1" applyFont="1"/>
    <xf numFmtId="2" fontId="2" fillId="0" borderId="0" xfId="2" applyNumberFormat="1"/>
    <xf numFmtId="1" fontId="2" fillId="0" borderId="0" xfId="2" applyNumberFormat="1"/>
    <xf numFmtId="164" fontId="5" fillId="0" borderId="0" xfId="0" applyNumberFormat="1" applyFont="1"/>
    <xf numFmtId="165" fontId="0" fillId="0" borderId="0" xfId="1" applyNumberFormat="1" applyFont="1"/>
    <xf numFmtId="2" fontId="0" fillId="0" borderId="0" xfId="0" applyNumberFormat="1"/>
    <xf numFmtId="0" fontId="9" fillId="0" borderId="0" xfId="0" applyFont="1"/>
    <xf numFmtId="0" fontId="0" fillId="2" borderId="0" xfId="0" applyFill="1"/>
    <xf numFmtId="9" fontId="0" fillId="2" borderId="0" xfId="1" applyFont="1" applyFill="1"/>
    <xf numFmtId="0" fontId="1" fillId="0" borderId="0" xfId="6"/>
    <xf numFmtId="166" fontId="0" fillId="0" borderId="0" xfId="0" applyNumberFormat="1"/>
    <xf numFmtId="166" fontId="5" fillId="0" borderId="0" xfId="0" applyNumberFormat="1" applyFont="1"/>
    <xf numFmtId="166" fontId="1" fillId="0" borderId="0" xfId="6" applyNumberFormat="1"/>
    <xf numFmtId="1" fontId="10" fillId="0" borderId="0" xfId="0" applyNumberFormat="1" applyFont="1"/>
    <xf numFmtId="164" fontId="1" fillId="0" borderId="0" xfId="6" applyNumberFormat="1"/>
    <xf numFmtId="2" fontId="5" fillId="0" borderId="0" xfId="0" applyNumberFormat="1" applyFont="1"/>
    <xf numFmtId="165" fontId="0" fillId="2" borderId="0" xfId="1" applyNumberFormat="1" applyFont="1" applyFill="1"/>
  </cellXfs>
  <cellStyles count="7">
    <cellStyle name="Відсотковий" xfId="1" builtinId="5"/>
    <cellStyle name="Звичайний" xfId="0" builtinId="0"/>
    <cellStyle name="Обычный 2" xfId="2" xr:uid="{AB1D3032-679D-4F8C-B77D-8AD7CB2FA7A5}"/>
    <cellStyle name="Обычный 3" xfId="4" xr:uid="{AC68FFF2-93A9-47EB-946F-E93F99054FD2}"/>
    <cellStyle name="Обычный 4" xfId="6" xr:uid="{B25A71E8-75D0-4ED3-8E15-852224CF4220}"/>
    <cellStyle name="Процентный 2" xfId="3" xr:uid="{25FFD702-2710-4E91-BEE2-199485975CE0}"/>
    <cellStyle name="Процентный 2 2" xfId="5" xr:uid="{675B835B-2200-4E60-AAC0-E3B69AFC81D1}"/>
  </cellStyles>
  <dxfs count="8">
    <dxf>
      <numFmt numFmtId="19" formatCode="dd/mm/yyyy"/>
    </dxf>
    <dxf>
      <numFmt numFmtId="2" formatCode="0.00"/>
    </dxf>
    <dxf>
      <numFmt numFmtId="166" formatCode="[$-422]mmm/\ 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204"/>
        <scheme val="minor"/>
      </font>
    </dxf>
    <dxf>
      <numFmt numFmtId="19" formatCode="dd/mm/yyyy"/>
    </dxf>
    <dxf>
      <numFmt numFmtId="2" formatCode="0.0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204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 sz="1400">
                <a:solidFill>
                  <a:sysClr val="windowText" lastClr="000000"/>
                </a:solidFill>
              </a:rPr>
              <a:t>Динаміка виробництва молока-сировини, тис.</a:t>
            </a:r>
            <a:r>
              <a:rPr lang="ru-RU" sz="1400" baseline="0">
                <a:solidFill>
                  <a:sysClr val="windowText" lastClr="000000"/>
                </a:solidFill>
              </a:rPr>
              <a:t> т</a:t>
            </a:r>
            <a:endParaRPr lang="ru-RU" sz="140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4.948301505869749E-2"/>
          <c:y val="0.13537011502254839"/>
          <c:w val="0.93534380981158105"/>
          <c:h val="0.71271077511925296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діаграма!$D$1</c:f>
              <c:strCache>
                <c:ptCount val="1"/>
                <c:pt idx="0">
                  <c:v>Вер. 2025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UA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діаграма!$A$2:$A$3</c:f>
              <c:strCache>
                <c:ptCount val="2"/>
                <c:pt idx="0">
                  <c:v>С-г підприємства</c:v>
                </c:pt>
                <c:pt idx="1">
                  <c:v>Господарства населення</c:v>
                </c:pt>
              </c:strCache>
            </c:strRef>
          </c:cat>
          <c:val>
            <c:numRef>
              <c:f>діаграма!$D$2:$D$3</c:f>
              <c:numCache>
                <c:formatCode>0.0</c:formatCode>
                <c:ptCount val="2"/>
                <c:pt idx="0">
                  <c:v>278.79999999999973</c:v>
                </c:pt>
                <c:pt idx="1">
                  <c:v>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FD-4523-A025-D4411C4AD52A}"/>
            </c:ext>
          </c:extLst>
        </c:ser>
        <c:ser>
          <c:idx val="1"/>
          <c:order val="1"/>
          <c:tx>
            <c:strRef>
              <c:f>діаграма!$C$1</c:f>
              <c:strCache>
                <c:ptCount val="1"/>
                <c:pt idx="0">
                  <c:v>Сер. 2026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UA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діаграма!$A$2:$A$3</c:f>
              <c:strCache>
                <c:ptCount val="2"/>
                <c:pt idx="0">
                  <c:v>С-г підприємства</c:v>
                </c:pt>
                <c:pt idx="1">
                  <c:v>Господарства населення</c:v>
                </c:pt>
              </c:strCache>
            </c:strRef>
          </c:cat>
          <c:val>
            <c:numRef>
              <c:f>діаграма!$C$2:$C$3</c:f>
              <c:numCache>
                <c:formatCode>0.0</c:formatCode>
                <c:ptCount val="2"/>
                <c:pt idx="0">
                  <c:v>275.70000000000027</c:v>
                </c:pt>
                <c:pt idx="1">
                  <c:v>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FD-4523-A025-D4411C4AD52A}"/>
            </c:ext>
          </c:extLst>
        </c:ser>
        <c:ser>
          <c:idx val="0"/>
          <c:order val="2"/>
          <c:tx>
            <c:strRef>
              <c:f>діаграма!$B$1</c:f>
              <c:strCache>
                <c:ptCount val="1"/>
                <c:pt idx="0">
                  <c:v>Вер. 2026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UA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діаграма!$A$2:$A$3</c:f>
              <c:strCache>
                <c:ptCount val="2"/>
                <c:pt idx="0">
                  <c:v>С-г підприємства</c:v>
                </c:pt>
                <c:pt idx="1">
                  <c:v>Господарства населення</c:v>
                </c:pt>
              </c:strCache>
            </c:strRef>
          </c:cat>
          <c:val>
            <c:numRef>
              <c:f>діаграма!$B$2:$B$3</c:f>
              <c:numCache>
                <c:formatCode>0.0</c:formatCode>
                <c:ptCount val="2"/>
                <c:pt idx="0">
                  <c:v>266.39999999999964</c:v>
                </c:pt>
                <c:pt idx="1">
                  <c:v>243.00000000000023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FD-4523-A025-D4411C4AD5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75614880"/>
        <c:axId val="1476887648"/>
      </c:barChart>
      <c:catAx>
        <c:axId val="117561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1476887648"/>
        <c:crosses val="autoZero"/>
        <c:auto val="1"/>
        <c:lblAlgn val="ctr"/>
        <c:lblOffset val="100"/>
        <c:noMultiLvlLbl val="0"/>
      </c:catAx>
      <c:valAx>
        <c:axId val="1476887648"/>
        <c:scaling>
          <c:orientation val="minMax"/>
          <c:max val="390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1175614880"/>
        <c:crosses val="autoZero"/>
        <c:crossBetween val="between"/>
        <c:majorUnit val="15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4382577718442633"/>
          <c:y val="5.4228299432046774E-2"/>
          <c:w val="0.49793101043528981"/>
          <c:h val="5.40342825949658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</xdr:colOff>
      <xdr:row>0</xdr:row>
      <xdr:rowOff>0</xdr:rowOff>
    </xdr:from>
    <xdr:to>
      <xdr:col>21</xdr:col>
      <xdr:colOff>78278</xdr:colOff>
      <xdr:row>34</xdr:row>
      <xdr:rowOff>83820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1B2C28A-CDFF-40A4-B9CF-B9A8042873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342900</xdr:colOff>
      <xdr:row>31</xdr:row>
      <xdr:rowOff>45720</xdr:rowOff>
    </xdr:from>
    <xdr:to>
      <xdr:col>20</xdr:col>
      <xdr:colOff>350520</xdr:colOff>
      <xdr:row>34</xdr:row>
      <xdr:rowOff>83820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2F22935-19FA-403F-9EF6-D264DC458010}"/>
            </a:ext>
          </a:extLst>
        </xdr:cNvPr>
        <xdr:cNvSpPr txBox="1"/>
      </xdr:nvSpPr>
      <xdr:spPr>
        <a:xfrm>
          <a:off x="4038600" y="5715000"/>
          <a:ext cx="8542020" cy="5867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000">
              <a:ln>
                <a:noFill/>
              </a:ln>
            </a:rPr>
            <a:t>Джерело</a:t>
          </a:r>
          <a:r>
            <a:rPr lang="ru-RU" sz="1000"/>
            <a:t>: Аналітичний відділ АВМ за попередніми даними Держстату*,                                                                                                                                                        ** *Дані наведено без урахування тимчасово окупованих російською федерацією територій та частини територій, на яких ведуться (велися)</a:t>
          </a:r>
          <a:r>
            <a:rPr lang="ru-RU" sz="1000" baseline="0"/>
            <a:t> </a:t>
          </a:r>
          <a:r>
            <a:rPr lang="ru-RU" sz="1000"/>
            <a:t>бойові дії.                                                                                                                                                                                                                  **Донецька, Луганська, Херсонська -- дані не оприлюднюються згідно вимог ЗУ «Про офіційну статистику». </a:t>
          </a:r>
          <a:endParaRPr lang="ru-UA" sz="10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8F8D46-EA57-407F-BE71-460E9C44D5DC}" name="data" displayName="data" ref="A1:F1738" totalsRowShown="0" headerRowDxfId="7">
  <autoFilter ref="A1:F1738" xr:uid="{FEFC72B5-5DFA-4255-BE24-52B6C1AF8455}"/>
  <sortState xmlns:xlrd2="http://schemas.microsoft.com/office/spreadsheetml/2017/richdata2" ref="A5:E147">
    <sortCondition ref="A5:A157"/>
  </sortState>
  <tableColumns count="6">
    <tableColumn id="1" xr3:uid="{30B1AF32-955F-489E-9706-1F5DE4640443}" name="Територіальний розріз"/>
    <tableColumn id="2" xr3:uid="{C1119BAB-E083-4941-94C1-AD8612F5E222}" name="Розріз"/>
    <tableColumn id="3" xr3:uid="{901384B8-2136-4336-B8D2-CE670788A475}" name="Вид господарства"/>
    <tableColumn id="4" xr3:uid="{FA8EB080-E2F6-46CD-B5B7-F20E1ABFDB20}" name="Період" dataDxfId="6"/>
    <tableColumn id="5" xr3:uid="{1A08060C-C923-40C3-B848-BC964F2C449F}" name="Виробництво, тис. т" dataDxfId="5"/>
    <tableColumn id="7" xr3:uid="{98DF8852-F704-47D0-8F23-4DBFE3875787}" name="Дата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0BA412-D334-47A5-889C-B85D8C3846FF}" name="monthly" displayName="monthly" ref="A1:F70" totalsRowShown="0" headerRowDxfId="3">
  <autoFilter ref="A1:F70" xr:uid="{D60BA412-D334-47A5-889C-B85D8C3846FF}"/>
  <tableColumns count="6">
    <tableColumn id="1" xr3:uid="{74F53673-BDE0-40D0-929B-25A30A0C7580}" name="Територіальний розріз"/>
    <tableColumn id="2" xr3:uid="{D1162F3B-9D42-4ABA-A08C-B0D73D70EC4D}" name="Розріз"/>
    <tableColumn id="3" xr3:uid="{0C9A6399-C71C-4B57-B3B9-60B9395F70DC}" name="Вид господарства"/>
    <tableColumn id="4" xr3:uid="{B13C1D8C-0701-481E-AEA5-F2550E59063F}" name="Період" dataDxfId="2"/>
    <tableColumn id="5" xr3:uid="{80F4E20D-0CCB-45F1-A5D5-C609A7024B3A}" name="Виробництво, тис. т" dataDxfId="1"/>
    <tableColumn id="6" xr3:uid="{A7CFCA68-DA4F-406A-856B-B97F12EE71C2}" name="Дата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C72B5-5DFA-4255-BE24-52B6C1AF8455}">
  <dimension ref="A1:H1738"/>
  <sheetViews>
    <sheetView workbookViewId="0">
      <pane ySplit="1" topLeftCell="A1641" activePane="bottomLeft" state="frozen"/>
      <selection pane="bottomLeft" activeCell="I1725" sqref="I1725"/>
    </sheetView>
  </sheetViews>
  <sheetFormatPr defaultRowHeight="14.4" x14ac:dyDescent="0.3"/>
  <cols>
    <col min="1" max="1" width="22.88671875" customWidth="1"/>
    <col min="3" max="3" width="22.109375" customWidth="1"/>
    <col min="4" max="4" width="21.6640625" customWidth="1"/>
    <col min="5" max="5" width="20.21875" style="17" customWidth="1"/>
    <col min="6" max="6" width="10.109375" style="1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39</v>
      </c>
      <c r="E1" s="27" t="s">
        <v>37</v>
      </c>
      <c r="F1" s="3" t="s">
        <v>31</v>
      </c>
    </row>
    <row r="2" spans="1:6" x14ac:dyDescent="0.3">
      <c r="A2" t="s">
        <v>11</v>
      </c>
      <c r="B2" t="s">
        <v>38</v>
      </c>
      <c r="C2" t="s">
        <v>6</v>
      </c>
      <c r="D2" t="s">
        <v>52</v>
      </c>
      <c r="E2" s="17">
        <v>3229.3</v>
      </c>
      <c r="F2" s="1">
        <v>45931</v>
      </c>
    </row>
    <row r="3" spans="1:6" x14ac:dyDescent="0.3">
      <c r="A3" t="s">
        <v>11</v>
      </c>
      <c r="B3" t="s">
        <v>38</v>
      </c>
      <c r="C3" t="s">
        <v>6</v>
      </c>
      <c r="D3" t="s">
        <v>51</v>
      </c>
      <c r="E3" s="17">
        <v>3470.3</v>
      </c>
      <c r="F3" s="1">
        <v>45962</v>
      </c>
    </row>
    <row r="4" spans="1:6" x14ac:dyDescent="0.3">
      <c r="A4" t="s">
        <v>15</v>
      </c>
      <c r="B4" t="s">
        <v>38</v>
      </c>
      <c r="C4" t="s">
        <v>4</v>
      </c>
      <c r="D4" t="s">
        <v>52</v>
      </c>
      <c r="E4" s="17">
        <v>14.1</v>
      </c>
      <c r="F4" s="1">
        <v>45931</v>
      </c>
    </row>
    <row r="5" spans="1:6" x14ac:dyDescent="0.3">
      <c r="A5" t="s">
        <v>10</v>
      </c>
      <c r="B5" t="s">
        <v>38</v>
      </c>
      <c r="C5" t="s">
        <v>4</v>
      </c>
      <c r="D5" t="s">
        <v>51</v>
      </c>
      <c r="E5" s="17">
        <v>263.3</v>
      </c>
      <c r="F5" s="1">
        <v>45962</v>
      </c>
    </row>
    <row r="6" spans="1:6" x14ac:dyDescent="0.3">
      <c r="A6" t="s">
        <v>15</v>
      </c>
      <c r="B6" t="s">
        <v>38</v>
      </c>
      <c r="C6" t="s">
        <v>6</v>
      </c>
      <c r="D6" t="s">
        <v>52</v>
      </c>
      <c r="E6" s="17">
        <v>185.9</v>
      </c>
      <c r="F6" s="1">
        <v>45931</v>
      </c>
    </row>
    <row r="7" spans="1:6" x14ac:dyDescent="0.3">
      <c r="A7" t="s">
        <v>15</v>
      </c>
      <c r="B7" t="s">
        <v>38</v>
      </c>
      <c r="C7" t="s">
        <v>6</v>
      </c>
      <c r="D7" t="s">
        <v>51</v>
      </c>
      <c r="E7" s="17">
        <v>200.8</v>
      </c>
      <c r="F7" s="1">
        <v>45962</v>
      </c>
    </row>
    <row r="8" spans="1:6" x14ac:dyDescent="0.3">
      <c r="A8" t="s">
        <v>17</v>
      </c>
      <c r="B8" t="s">
        <v>38</v>
      </c>
      <c r="C8" t="s">
        <v>6</v>
      </c>
      <c r="D8" t="s">
        <v>52</v>
      </c>
      <c r="E8" s="17">
        <v>0</v>
      </c>
      <c r="F8" s="1">
        <v>45931</v>
      </c>
    </row>
    <row r="9" spans="1:6" x14ac:dyDescent="0.3">
      <c r="A9" t="s">
        <v>17</v>
      </c>
      <c r="B9" t="s">
        <v>38</v>
      </c>
      <c r="C9" t="s">
        <v>6</v>
      </c>
      <c r="D9" t="s">
        <v>51</v>
      </c>
      <c r="E9" s="17">
        <v>0</v>
      </c>
      <c r="F9" s="1">
        <v>45962</v>
      </c>
    </row>
    <row r="10" spans="1:6" x14ac:dyDescent="0.3">
      <c r="A10" t="s">
        <v>3</v>
      </c>
      <c r="B10" t="s">
        <v>38</v>
      </c>
      <c r="C10" t="s">
        <v>9</v>
      </c>
      <c r="D10" t="s">
        <v>52</v>
      </c>
      <c r="E10" s="17">
        <v>14.9</v>
      </c>
      <c r="F10" s="1">
        <v>45931</v>
      </c>
    </row>
    <row r="11" spans="1:6" x14ac:dyDescent="0.3">
      <c r="A11" t="s">
        <v>3</v>
      </c>
      <c r="B11" t="s">
        <v>38</v>
      </c>
      <c r="C11" t="s">
        <v>9</v>
      </c>
      <c r="D11" t="s">
        <v>51</v>
      </c>
      <c r="E11" s="17">
        <v>16.2</v>
      </c>
      <c r="F11" s="1">
        <v>45962</v>
      </c>
    </row>
    <row r="12" spans="1:6" x14ac:dyDescent="0.3">
      <c r="A12" t="s">
        <v>5</v>
      </c>
      <c r="B12" t="s">
        <v>38</v>
      </c>
      <c r="C12" t="s">
        <v>4</v>
      </c>
      <c r="D12" t="s">
        <v>52</v>
      </c>
      <c r="E12" s="17">
        <v>53.1</v>
      </c>
      <c r="F12" s="1">
        <v>45931</v>
      </c>
    </row>
    <row r="13" spans="1:6" x14ac:dyDescent="0.3">
      <c r="A13" t="s">
        <v>7</v>
      </c>
      <c r="B13" t="s">
        <v>38</v>
      </c>
      <c r="C13" t="s">
        <v>4</v>
      </c>
      <c r="D13" t="s">
        <v>51</v>
      </c>
      <c r="E13" s="17">
        <v>110.8</v>
      </c>
      <c r="F13" s="1">
        <v>45962</v>
      </c>
    </row>
    <row r="14" spans="1:6" x14ac:dyDescent="0.3">
      <c r="A14" t="s">
        <v>8</v>
      </c>
      <c r="B14" t="s">
        <v>38</v>
      </c>
      <c r="C14" t="s">
        <v>9</v>
      </c>
      <c r="D14" t="s">
        <v>52</v>
      </c>
      <c r="E14" s="17">
        <v>336.9</v>
      </c>
      <c r="F14" s="1">
        <v>45931</v>
      </c>
    </row>
    <row r="15" spans="1:6" x14ac:dyDescent="0.3">
      <c r="A15" t="s">
        <v>8</v>
      </c>
      <c r="B15" t="s">
        <v>38</v>
      </c>
      <c r="C15" t="s">
        <v>9</v>
      </c>
      <c r="D15" t="s">
        <v>51</v>
      </c>
      <c r="E15" s="17">
        <v>362.3</v>
      </c>
      <c r="F15" s="1">
        <v>45962</v>
      </c>
    </row>
    <row r="16" spans="1:6" x14ac:dyDescent="0.3">
      <c r="A16" t="s">
        <v>15</v>
      </c>
      <c r="B16" t="s">
        <v>38</v>
      </c>
      <c r="C16" t="s">
        <v>9</v>
      </c>
      <c r="D16" t="s">
        <v>52</v>
      </c>
      <c r="E16" s="17">
        <v>200</v>
      </c>
      <c r="F16" s="1">
        <v>45931</v>
      </c>
    </row>
    <row r="17" spans="1:6" x14ac:dyDescent="0.3">
      <c r="A17" t="s">
        <v>15</v>
      </c>
      <c r="B17" t="s">
        <v>38</v>
      </c>
      <c r="C17" t="s">
        <v>9</v>
      </c>
      <c r="D17" t="s">
        <v>51</v>
      </c>
      <c r="E17" s="17">
        <v>216.3</v>
      </c>
      <c r="F17" s="1">
        <v>45962</v>
      </c>
    </row>
    <row r="18" spans="1:6" x14ac:dyDescent="0.3">
      <c r="A18" t="s">
        <v>14</v>
      </c>
      <c r="B18" t="s">
        <v>38</v>
      </c>
      <c r="C18" t="s">
        <v>9</v>
      </c>
      <c r="D18" t="s">
        <v>52</v>
      </c>
      <c r="E18" s="17">
        <v>14.5</v>
      </c>
      <c r="F18" s="1">
        <v>45931</v>
      </c>
    </row>
    <row r="19" spans="1:6" x14ac:dyDescent="0.3">
      <c r="A19" t="s">
        <v>14</v>
      </c>
      <c r="B19" t="s">
        <v>38</v>
      </c>
      <c r="C19" t="s">
        <v>9</v>
      </c>
      <c r="D19" t="s">
        <v>51</v>
      </c>
      <c r="E19" s="17">
        <v>15.6</v>
      </c>
      <c r="F19" s="1">
        <v>45962</v>
      </c>
    </row>
    <row r="20" spans="1:6" x14ac:dyDescent="0.3">
      <c r="A20" t="s">
        <v>8</v>
      </c>
      <c r="B20" t="s">
        <v>38</v>
      </c>
      <c r="C20" t="s">
        <v>6</v>
      </c>
      <c r="D20" t="s">
        <v>52</v>
      </c>
      <c r="E20" s="17">
        <v>212.1</v>
      </c>
      <c r="F20" s="1">
        <v>45931</v>
      </c>
    </row>
    <row r="21" spans="1:6" x14ac:dyDescent="0.3">
      <c r="A21" t="s">
        <v>8</v>
      </c>
      <c r="B21" t="s">
        <v>38</v>
      </c>
      <c r="C21" t="s">
        <v>6</v>
      </c>
      <c r="D21" t="s">
        <v>51</v>
      </c>
      <c r="E21" s="17">
        <v>225.7</v>
      </c>
      <c r="F21" s="1">
        <v>45962</v>
      </c>
    </row>
    <row r="22" spans="1:6" x14ac:dyDescent="0.3">
      <c r="A22" t="s">
        <v>10</v>
      </c>
      <c r="B22" t="s">
        <v>38</v>
      </c>
      <c r="C22" t="s">
        <v>9</v>
      </c>
      <c r="D22" t="s">
        <v>52</v>
      </c>
      <c r="E22" s="17">
        <v>480.5</v>
      </c>
      <c r="F22" s="1">
        <v>45931</v>
      </c>
    </row>
    <row r="23" spans="1:6" x14ac:dyDescent="0.3">
      <c r="A23" t="s">
        <v>10</v>
      </c>
      <c r="B23" t="s">
        <v>38</v>
      </c>
      <c r="C23" t="s">
        <v>9</v>
      </c>
      <c r="D23" t="s">
        <v>51</v>
      </c>
      <c r="E23" s="17">
        <v>528.6</v>
      </c>
      <c r="F23" s="1">
        <v>45962</v>
      </c>
    </row>
    <row r="24" spans="1:6" x14ac:dyDescent="0.3">
      <c r="A24" t="s">
        <v>11</v>
      </c>
      <c r="B24" t="s">
        <v>38</v>
      </c>
      <c r="C24" t="s">
        <v>4</v>
      </c>
      <c r="D24" t="s">
        <v>52</v>
      </c>
      <c r="E24" s="17">
        <v>2649.1</v>
      </c>
      <c r="F24" s="1">
        <v>45931</v>
      </c>
    </row>
    <row r="25" spans="1:6" x14ac:dyDescent="0.3">
      <c r="A25" t="s">
        <v>11</v>
      </c>
      <c r="B25" t="s">
        <v>38</v>
      </c>
      <c r="C25" t="s">
        <v>4</v>
      </c>
      <c r="D25" t="s">
        <v>51</v>
      </c>
      <c r="E25" s="17">
        <v>2914.7</v>
      </c>
      <c r="F25" s="1">
        <v>45962</v>
      </c>
    </row>
    <row r="26" spans="1:6" x14ac:dyDescent="0.3">
      <c r="A26" t="s">
        <v>14</v>
      </c>
      <c r="B26" t="s">
        <v>38</v>
      </c>
      <c r="C26" t="s">
        <v>4</v>
      </c>
      <c r="D26" t="s">
        <v>52</v>
      </c>
      <c r="E26" s="17">
        <v>3.2</v>
      </c>
      <c r="F26" s="1">
        <v>45931</v>
      </c>
    </row>
    <row r="27" spans="1:6" x14ac:dyDescent="0.3">
      <c r="A27" t="s">
        <v>5</v>
      </c>
      <c r="B27" t="s">
        <v>38</v>
      </c>
      <c r="C27" t="s">
        <v>4</v>
      </c>
      <c r="D27" t="s">
        <v>51</v>
      </c>
      <c r="E27" s="17">
        <v>57.9</v>
      </c>
      <c r="F27" s="1">
        <v>45962</v>
      </c>
    </row>
    <row r="28" spans="1:6" x14ac:dyDescent="0.3">
      <c r="A28" t="s">
        <v>3</v>
      </c>
      <c r="B28" t="s">
        <v>38</v>
      </c>
      <c r="C28" t="s">
        <v>4</v>
      </c>
      <c r="D28" t="s">
        <v>52</v>
      </c>
      <c r="E28" s="17">
        <v>0</v>
      </c>
      <c r="F28" s="1">
        <v>45931</v>
      </c>
    </row>
    <row r="29" spans="1:6" x14ac:dyDescent="0.3">
      <c r="A29" t="s">
        <v>3</v>
      </c>
      <c r="B29" t="s">
        <v>38</v>
      </c>
      <c r="C29" t="s">
        <v>4</v>
      </c>
      <c r="D29" t="s">
        <v>51</v>
      </c>
      <c r="E29" s="17">
        <v>0</v>
      </c>
      <c r="F29" s="1">
        <v>45962</v>
      </c>
    </row>
    <row r="30" spans="1:6" x14ac:dyDescent="0.3">
      <c r="A30" t="s">
        <v>13</v>
      </c>
      <c r="B30" t="s">
        <v>38</v>
      </c>
      <c r="C30" t="s">
        <v>9</v>
      </c>
      <c r="D30" t="s">
        <v>52</v>
      </c>
      <c r="E30" s="17">
        <v>173.4</v>
      </c>
      <c r="F30" s="1">
        <v>45931</v>
      </c>
    </row>
    <row r="31" spans="1:6" x14ac:dyDescent="0.3">
      <c r="A31" t="s">
        <v>13</v>
      </c>
      <c r="B31" t="s">
        <v>38</v>
      </c>
      <c r="C31" t="s">
        <v>9</v>
      </c>
      <c r="D31" t="s">
        <v>51</v>
      </c>
      <c r="E31" s="17">
        <v>186</v>
      </c>
      <c r="F31" s="1">
        <v>45962</v>
      </c>
    </row>
    <row r="32" spans="1:6" x14ac:dyDescent="0.3">
      <c r="A32" t="s">
        <v>13</v>
      </c>
      <c r="B32" t="s">
        <v>38</v>
      </c>
      <c r="C32" t="s">
        <v>4</v>
      </c>
      <c r="D32" t="s">
        <v>52</v>
      </c>
      <c r="E32" s="17">
        <v>1.1000000000000001</v>
      </c>
      <c r="F32" s="1">
        <v>45931</v>
      </c>
    </row>
    <row r="33" spans="1:6" x14ac:dyDescent="0.3">
      <c r="A33" t="s">
        <v>8</v>
      </c>
      <c r="B33" t="s">
        <v>38</v>
      </c>
      <c r="C33" t="s">
        <v>4</v>
      </c>
      <c r="D33" t="s">
        <v>51</v>
      </c>
      <c r="E33" s="17">
        <v>136.6</v>
      </c>
      <c r="F33" s="1">
        <v>45962</v>
      </c>
    </row>
    <row r="34" spans="1:6" x14ac:dyDescent="0.3">
      <c r="A34" t="s">
        <v>17</v>
      </c>
      <c r="B34" t="s">
        <v>38</v>
      </c>
      <c r="C34" t="s">
        <v>9</v>
      </c>
      <c r="D34" t="s">
        <v>52</v>
      </c>
      <c r="E34" s="17">
        <v>38.9</v>
      </c>
      <c r="F34" s="1">
        <v>45931</v>
      </c>
    </row>
    <row r="35" spans="1:6" x14ac:dyDescent="0.3">
      <c r="A35" t="s">
        <v>17</v>
      </c>
      <c r="B35" t="s">
        <v>38</v>
      </c>
      <c r="C35" t="s">
        <v>9</v>
      </c>
      <c r="D35" t="s">
        <v>51</v>
      </c>
      <c r="E35" s="17">
        <v>42.1</v>
      </c>
      <c r="F35" s="1">
        <v>45962</v>
      </c>
    </row>
    <row r="36" spans="1:6" x14ac:dyDescent="0.3">
      <c r="A36" t="s">
        <v>17</v>
      </c>
      <c r="B36" t="s">
        <v>38</v>
      </c>
      <c r="C36" t="s">
        <v>4</v>
      </c>
      <c r="D36" t="s">
        <v>52</v>
      </c>
      <c r="E36" s="17">
        <v>0</v>
      </c>
      <c r="F36" s="1">
        <v>45931</v>
      </c>
    </row>
    <row r="37" spans="1:6" x14ac:dyDescent="0.3">
      <c r="A37" t="s">
        <v>13</v>
      </c>
      <c r="B37" t="s">
        <v>38</v>
      </c>
      <c r="C37" t="s">
        <v>4</v>
      </c>
      <c r="D37" t="s">
        <v>51</v>
      </c>
      <c r="E37" s="17">
        <v>1.2</v>
      </c>
      <c r="F37" s="1">
        <v>45962</v>
      </c>
    </row>
    <row r="38" spans="1:6" x14ac:dyDescent="0.3">
      <c r="A38" t="s">
        <v>12</v>
      </c>
      <c r="B38" t="s">
        <v>38</v>
      </c>
      <c r="C38" t="s">
        <v>6</v>
      </c>
      <c r="D38" t="s">
        <v>52</v>
      </c>
      <c r="E38" s="17">
        <v>48.5</v>
      </c>
      <c r="F38" s="1">
        <v>45931</v>
      </c>
    </row>
    <row r="39" spans="1:6" x14ac:dyDescent="0.3">
      <c r="A39" t="s">
        <v>12</v>
      </c>
      <c r="B39" t="s">
        <v>38</v>
      </c>
      <c r="C39" t="s">
        <v>6</v>
      </c>
      <c r="D39" t="s">
        <v>51</v>
      </c>
      <c r="E39" s="17">
        <v>52.8</v>
      </c>
      <c r="F39" s="1">
        <v>45962</v>
      </c>
    </row>
    <row r="40" spans="1:6" x14ac:dyDescent="0.3">
      <c r="A40" t="s">
        <v>16</v>
      </c>
      <c r="B40" t="s">
        <v>38</v>
      </c>
      <c r="C40" t="s">
        <v>6</v>
      </c>
      <c r="D40" t="s">
        <v>52</v>
      </c>
      <c r="E40" s="17">
        <v>149.19999999999999</v>
      </c>
      <c r="F40" s="1">
        <v>45931</v>
      </c>
    </row>
    <row r="41" spans="1:6" x14ac:dyDescent="0.3">
      <c r="A41" t="s">
        <v>16</v>
      </c>
      <c r="B41" t="s">
        <v>38</v>
      </c>
      <c r="C41" t="s">
        <v>6</v>
      </c>
      <c r="D41" t="s">
        <v>51</v>
      </c>
      <c r="E41" s="17">
        <v>160.6</v>
      </c>
      <c r="F41" s="1">
        <v>45962</v>
      </c>
    </row>
    <row r="42" spans="1:6" x14ac:dyDescent="0.3">
      <c r="A42" t="s">
        <v>16</v>
      </c>
      <c r="B42" t="s">
        <v>38</v>
      </c>
      <c r="C42" t="s">
        <v>9</v>
      </c>
      <c r="D42" t="s">
        <v>52</v>
      </c>
      <c r="E42" s="17">
        <v>213.5</v>
      </c>
      <c r="F42" s="1">
        <v>45931</v>
      </c>
    </row>
    <row r="43" spans="1:6" x14ac:dyDescent="0.3">
      <c r="A43" t="s">
        <v>16</v>
      </c>
      <c r="B43" t="s">
        <v>38</v>
      </c>
      <c r="C43" t="s">
        <v>9</v>
      </c>
      <c r="D43" t="s">
        <v>51</v>
      </c>
      <c r="E43" s="17">
        <v>231.9</v>
      </c>
      <c r="F43" s="1">
        <v>45962</v>
      </c>
    </row>
    <row r="44" spans="1:6" x14ac:dyDescent="0.3">
      <c r="A44" t="s">
        <v>8</v>
      </c>
      <c r="B44" t="s">
        <v>38</v>
      </c>
      <c r="C44" t="s">
        <v>4</v>
      </c>
      <c r="D44" t="s">
        <v>52</v>
      </c>
      <c r="E44" s="17">
        <v>124.8</v>
      </c>
      <c r="F44" s="1">
        <v>45931</v>
      </c>
    </row>
    <row r="45" spans="1:6" x14ac:dyDescent="0.3">
      <c r="A45" t="s">
        <v>14</v>
      </c>
      <c r="B45" t="s">
        <v>38</v>
      </c>
      <c r="C45" t="s">
        <v>4</v>
      </c>
      <c r="D45" t="s">
        <v>51</v>
      </c>
      <c r="E45" s="17">
        <v>3.5</v>
      </c>
      <c r="F45" s="1">
        <v>45962</v>
      </c>
    </row>
    <row r="46" spans="1:6" x14ac:dyDescent="0.3">
      <c r="A46" t="s">
        <v>12</v>
      </c>
      <c r="B46" t="s">
        <v>38</v>
      </c>
      <c r="C46" t="s">
        <v>9</v>
      </c>
      <c r="D46" t="s">
        <v>52</v>
      </c>
      <c r="E46" s="17">
        <v>282.5</v>
      </c>
      <c r="F46" s="1">
        <v>45931</v>
      </c>
    </row>
    <row r="47" spans="1:6" x14ac:dyDescent="0.3">
      <c r="A47" t="s">
        <v>12</v>
      </c>
      <c r="B47" t="s">
        <v>38</v>
      </c>
      <c r="C47" t="s">
        <v>9</v>
      </c>
      <c r="D47" t="s">
        <v>51</v>
      </c>
      <c r="E47" s="17">
        <v>309.2</v>
      </c>
      <c r="F47" s="1">
        <v>45962</v>
      </c>
    </row>
    <row r="48" spans="1:6" x14ac:dyDescent="0.3">
      <c r="A48" t="s">
        <v>7</v>
      </c>
      <c r="B48" t="s">
        <v>38</v>
      </c>
      <c r="C48" t="s">
        <v>9</v>
      </c>
      <c r="D48" t="s">
        <v>52</v>
      </c>
      <c r="E48" s="17">
        <v>233.3</v>
      </c>
      <c r="F48" s="1">
        <v>45931</v>
      </c>
    </row>
    <row r="49" spans="1:6" x14ac:dyDescent="0.3">
      <c r="A49" t="s">
        <v>7</v>
      </c>
      <c r="B49" t="s">
        <v>38</v>
      </c>
      <c r="C49" t="s">
        <v>9</v>
      </c>
      <c r="D49" t="s">
        <v>51</v>
      </c>
      <c r="E49" s="17">
        <v>249.6</v>
      </c>
      <c r="F49" s="1">
        <v>45962</v>
      </c>
    </row>
    <row r="50" spans="1:6" x14ac:dyDescent="0.3">
      <c r="A50" t="s">
        <v>12</v>
      </c>
      <c r="B50" t="s">
        <v>38</v>
      </c>
      <c r="C50" t="s">
        <v>4</v>
      </c>
      <c r="D50" t="s">
        <v>52</v>
      </c>
      <c r="E50" s="17">
        <v>234</v>
      </c>
      <c r="F50" s="1">
        <v>45931</v>
      </c>
    </row>
    <row r="51" spans="1:6" x14ac:dyDescent="0.3">
      <c r="A51" t="s">
        <v>15</v>
      </c>
      <c r="B51" t="s">
        <v>38</v>
      </c>
      <c r="C51" t="s">
        <v>4</v>
      </c>
      <c r="D51" t="s">
        <v>51</v>
      </c>
      <c r="E51" s="17">
        <v>15.5</v>
      </c>
      <c r="F51" s="1">
        <v>45962</v>
      </c>
    </row>
    <row r="52" spans="1:6" x14ac:dyDescent="0.3">
      <c r="A52" t="s">
        <v>5</v>
      </c>
      <c r="B52" t="s">
        <v>38</v>
      </c>
      <c r="C52" t="s">
        <v>9</v>
      </c>
      <c r="D52" t="s">
        <v>52</v>
      </c>
      <c r="E52" s="17">
        <v>165.9</v>
      </c>
      <c r="F52" s="1">
        <v>45931</v>
      </c>
    </row>
    <row r="53" spans="1:6" x14ac:dyDescent="0.3">
      <c r="A53" t="s">
        <v>5</v>
      </c>
      <c r="B53" t="s">
        <v>38</v>
      </c>
      <c r="C53" t="s">
        <v>9</v>
      </c>
      <c r="D53" t="s">
        <v>51</v>
      </c>
      <c r="E53" s="17">
        <v>179.8</v>
      </c>
      <c r="F53" s="1">
        <v>45962</v>
      </c>
    </row>
    <row r="54" spans="1:6" x14ac:dyDescent="0.3">
      <c r="A54" t="s">
        <v>11</v>
      </c>
      <c r="B54" t="s">
        <v>38</v>
      </c>
      <c r="C54" t="s">
        <v>9</v>
      </c>
      <c r="D54" t="s">
        <v>52</v>
      </c>
      <c r="E54" s="17">
        <v>5878.4</v>
      </c>
      <c r="F54" s="1">
        <v>45931</v>
      </c>
    </row>
    <row r="55" spans="1:6" x14ac:dyDescent="0.3">
      <c r="A55" t="s">
        <v>11</v>
      </c>
      <c r="B55" t="s">
        <v>38</v>
      </c>
      <c r="C55" t="s">
        <v>9</v>
      </c>
      <c r="D55" t="s">
        <v>51</v>
      </c>
      <c r="E55" s="17">
        <v>6385</v>
      </c>
      <c r="F55" s="1">
        <v>45962</v>
      </c>
    </row>
    <row r="56" spans="1:6" x14ac:dyDescent="0.3">
      <c r="A56" t="s">
        <v>7</v>
      </c>
      <c r="B56" t="s">
        <v>38</v>
      </c>
      <c r="C56" t="s">
        <v>4</v>
      </c>
      <c r="D56" t="s">
        <v>52</v>
      </c>
      <c r="E56" s="17">
        <v>100.9</v>
      </c>
      <c r="F56" s="1">
        <v>45931</v>
      </c>
    </row>
    <row r="57" spans="1:6" x14ac:dyDescent="0.3">
      <c r="A57" t="s">
        <v>12</v>
      </c>
      <c r="B57" t="s">
        <v>38</v>
      </c>
      <c r="C57" t="s">
        <v>4</v>
      </c>
      <c r="D57" t="s">
        <v>51</v>
      </c>
      <c r="E57" s="17">
        <v>256.39999999999998</v>
      </c>
      <c r="F57" s="1">
        <v>45962</v>
      </c>
    </row>
    <row r="58" spans="1:6" x14ac:dyDescent="0.3">
      <c r="A58" t="s">
        <v>14</v>
      </c>
      <c r="B58" t="s">
        <v>38</v>
      </c>
      <c r="C58" t="s">
        <v>6</v>
      </c>
      <c r="D58" t="s">
        <v>52</v>
      </c>
      <c r="E58" s="17">
        <v>11.3</v>
      </c>
      <c r="F58" s="1">
        <v>45931</v>
      </c>
    </row>
    <row r="59" spans="1:6" x14ac:dyDescent="0.3">
      <c r="A59" t="s">
        <v>14</v>
      </c>
      <c r="B59" t="s">
        <v>38</v>
      </c>
      <c r="C59" t="s">
        <v>6</v>
      </c>
      <c r="D59" t="s">
        <v>51</v>
      </c>
      <c r="E59" s="17">
        <v>12.1</v>
      </c>
      <c r="F59" s="1">
        <v>45962</v>
      </c>
    </row>
    <row r="60" spans="1:6" x14ac:dyDescent="0.3">
      <c r="A60" t="s">
        <v>7</v>
      </c>
      <c r="B60" t="s">
        <v>38</v>
      </c>
      <c r="C60" t="s">
        <v>6</v>
      </c>
      <c r="D60" t="s">
        <v>52</v>
      </c>
      <c r="E60" s="17">
        <v>132.4</v>
      </c>
      <c r="F60" s="1">
        <v>45931</v>
      </c>
    </row>
    <row r="61" spans="1:6" x14ac:dyDescent="0.3">
      <c r="A61" t="s">
        <v>7</v>
      </c>
      <c r="B61" t="s">
        <v>38</v>
      </c>
      <c r="C61" t="s">
        <v>6</v>
      </c>
      <c r="D61" t="s">
        <v>51</v>
      </c>
      <c r="E61" s="17">
        <v>138.80000000000001</v>
      </c>
      <c r="F61" s="1">
        <v>45962</v>
      </c>
    </row>
    <row r="62" spans="1:6" x14ac:dyDescent="0.3">
      <c r="A62" t="s">
        <v>5</v>
      </c>
      <c r="B62" t="s">
        <v>38</v>
      </c>
      <c r="C62" t="s">
        <v>6</v>
      </c>
      <c r="D62" t="s">
        <v>52</v>
      </c>
      <c r="E62" s="17">
        <v>112.8</v>
      </c>
      <c r="F62" s="1">
        <v>45931</v>
      </c>
    </row>
    <row r="63" spans="1:6" x14ac:dyDescent="0.3">
      <c r="A63" t="s">
        <v>5</v>
      </c>
      <c r="B63" t="s">
        <v>38</v>
      </c>
      <c r="C63" t="s">
        <v>6</v>
      </c>
      <c r="D63" t="s">
        <v>51</v>
      </c>
      <c r="E63" s="17">
        <v>121.9</v>
      </c>
      <c r="F63" s="1">
        <v>45962</v>
      </c>
    </row>
    <row r="64" spans="1:6" x14ac:dyDescent="0.3">
      <c r="A64" t="s">
        <v>10</v>
      </c>
      <c r="B64" t="s">
        <v>38</v>
      </c>
      <c r="C64" t="s">
        <v>4</v>
      </c>
      <c r="D64" t="s">
        <v>52</v>
      </c>
      <c r="E64" s="17">
        <v>237.1</v>
      </c>
      <c r="F64" s="1">
        <v>45931</v>
      </c>
    </row>
    <row r="65" spans="1:6" x14ac:dyDescent="0.3">
      <c r="A65" t="s">
        <v>16</v>
      </c>
      <c r="B65" t="s">
        <v>38</v>
      </c>
      <c r="C65" t="s">
        <v>4</v>
      </c>
      <c r="D65" t="s">
        <v>51</v>
      </c>
      <c r="E65" s="17">
        <v>71.3</v>
      </c>
      <c r="F65" s="1">
        <v>45962</v>
      </c>
    </row>
    <row r="66" spans="1:6" x14ac:dyDescent="0.3">
      <c r="A66" t="s">
        <v>16</v>
      </c>
      <c r="B66" t="s">
        <v>38</v>
      </c>
      <c r="C66" t="s">
        <v>4</v>
      </c>
      <c r="D66" t="s">
        <v>52</v>
      </c>
      <c r="E66" s="17">
        <v>64.3</v>
      </c>
      <c r="F66" s="1">
        <v>45931</v>
      </c>
    </row>
    <row r="67" spans="1:6" x14ac:dyDescent="0.3">
      <c r="A67" t="s">
        <v>17</v>
      </c>
      <c r="B67" t="s">
        <v>38</v>
      </c>
      <c r="C67" t="s">
        <v>4</v>
      </c>
      <c r="D67" t="s">
        <v>51</v>
      </c>
      <c r="E67" s="17">
        <v>0</v>
      </c>
      <c r="F67" s="1">
        <v>45962</v>
      </c>
    </row>
    <row r="68" spans="1:6" x14ac:dyDescent="0.3">
      <c r="A68" t="s">
        <v>10</v>
      </c>
      <c r="B68" t="s">
        <v>38</v>
      </c>
      <c r="C68" t="s">
        <v>6</v>
      </c>
      <c r="D68" t="s">
        <v>52</v>
      </c>
      <c r="E68" s="17">
        <v>243.4</v>
      </c>
      <c r="F68" s="1">
        <v>45931</v>
      </c>
    </row>
    <row r="69" spans="1:6" x14ac:dyDescent="0.3">
      <c r="A69" t="s">
        <v>10</v>
      </c>
      <c r="B69" t="s">
        <v>38</v>
      </c>
      <c r="C69" t="s">
        <v>6</v>
      </c>
      <c r="D69" t="s">
        <v>51</v>
      </c>
      <c r="E69" s="17">
        <v>265.3</v>
      </c>
      <c r="F69" s="1">
        <v>45962</v>
      </c>
    </row>
    <row r="70" spans="1:6" x14ac:dyDescent="0.3">
      <c r="A70" t="s">
        <v>3</v>
      </c>
      <c r="B70" t="s">
        <v>38</v>
      </c>
      <c r="C70" t="s">
        <v>6</v>
      </c>
      <c r="D70" t="s">
        <v>52</v>
      </c>
      <c r="E70" s="17">
        <v>0</v>
      </c>
      <c r="F70" s="1">
        <v>45931</v>
      </c>
    </row>
    <row r="71" spans="1:6" x14ac:dyDescent="0.3">
      <c r="A71" t="s">
        <v>3</v>
      </c>
      <c r="B71" t="s">
        <v>38</v>
      </c>
      <c r="C71" t="s">
        <v>6</v>
      </c>
      <c r="D71" t="s">
        <v>51</v>
      </c>
      <c r="E71" s="17">
        <v>0</v>
      </c>
      <c r="F71" s="1">
        <v>45962</v>
      </c>
    </row>
    <row r="72" spans="1:6" x14ac:dyDescent="0.3">
      <c r="A72" t="s">
        <v>13</v>
      </c>
      <c r="B72" t="s">
        <v>38</v>
      </c>
      <c r="C72" t="s">
        <v>6</v>
      </c>
      <c r="D72" t="s">
        <v>52</v>
      </c>
      <c r="E72" s="17">
        <v>172.3</v>
      </c>
      <c r="F72" s="1">
        <v>45931</v>
      </c>
    </row>
    <row r="73" spans="1:6" x14ac:dyDescent="0.3">
      <c r="A73" t="s">
        <v>13</v>
      </c>
      <c r="B73" t="s">
        <v>38</v>
      </c>
      <c r="C73" t="s">
        <v>6</v>
      </c>
      <c r="D73" t="s">
        <v>51</v>
      </c>
      <c r="E73" s="17">
        <v>184.8</v>
      </c>
      <c r="F73" s="1">
        <v>45962</v>
      </c>
    </row>
    <row r="74" spans="1:6" x14ac:dyDescent="0.3">
      <c r="A74" t="s">
        <v>18</v>
      </c>
      <c r="B74" t="s">
        <v>38</v>
      </c>
      <c r="C74" t="s">
        <v>9</v>
      </c>
      <c r="D74" t="s">
        <v>52</v>
      </c>
      <c r="E74" s="17">
        <v>565.20000000000005</v>
      </c>
      <c r="F74" s="1">
        <v>45931</v>
      </c>
    </row>
    <row r="75" spans="1:6" x14ac:dyDescent="0.3">
      <c r="A75" t="s">
        <v>18</v>
      </c>
      <c r="B75" t="s">
        <v>38</v>
      </c>
      <c r="C75" t="s">
        <v>9</v>
      </c>
      <c r="D75" t="s">
        <v>51</v>
      </c>
      <c r="E75" s="17">
        <v>617.70000000000005</v>
      </c>
      <c r="F75" s="1">
        <v>45962</v>
      </c>
    </row>
    <row r="76" spans="1:6" x14ac:dyDescent="0.3">
      <c r="A76" t="s">
        <v>25</v>
      </c>
      <c r="B76" t="s">
        <v>38</v>
      </c>
      <c r="C76" t="s">
        <v>6</v>
      </c>
      <c r="D76" t="s">
        <v>52</v>
      </c>
      <c r="E76" s="17">
        <v>123.4</v>
      </c>
      <c r="F76" s="1">
        <v>45931</v>
      </c>
    </row>
    <row r="77" spans="1:6" x14ac:dyDescent="0.3">
      <c r="A77" t="s">
        <v>25</v>
      </c>
      <c r="B77" t="s">
        <v>38</v>
      </c>
      <c r="C77" t="s">
        <v>6</v>
      </c>
      <c r="D77" t="s">
        <v>51</v>
      </c>
      <c r="E77" s="17">
        <v>137</v>
      </c>
      <c r="F77" s="1">
        <v>45962</v>
      </c>
    </row>
    <row r="78" spans="1:6" x14ac:dyDescent="0.3">
      <c r="A78" t="s">
        <v>24</v>
      </c>
      <c r="B78" t="s">
        <v>38</v>
      </c>
      <c r="C78" t="s">
        <v>4</v>
      </c>
      <c r="D78" t="s">
        <v>52</v>
      </c>
      <c r="E78" s="17">
        <v>0</v>
      </c>
      <c r="F78" s="1">
        <v>45931</v>
      </c>
    </row>
    <row r="79" spans="1:6" x14ac:dyDescent="0.3">
      <c r="A79" t="s">
        <v>21</v>
      </c>
      <c r="B79" t="s">
        <v>38</v>
      </c>
      <c r="C79" t="s">
        <v>4</v>
      </c>
      <c r="D79" t="s">
        <v>51</v>
      </c>
      <c r="E79" s="17">
        <v>30.9</v>
      </c>
      <c r="F79" s="1">
        <v>45962</v>
      </c>
    </row>
    <row r="80" spans="1:6" x14ac:dyDescent="0.3">
      <c r="A80" t="s">
        <v>28</v>
      </c>
      <c r="B80" t="s">
        <v>38</v>
      </c>
      <c r="C80" t="s">
        <v>4</v>
      </c>
      <c r="D80" t="s">
        <v>52</v>
      </c>
      <c r="E80" s="17">
        <v>174.7</v>
      </c>
      <c r="F80" s="1">
        <v>45931</v>
      </c>
    </row>
    <row r="81" spans="1:6" x14ac:dyDescent="0.3">
      <c r="A81" t="s">
        <v>19</v>
      </c>
      <c r="B81" t="s">
        <v>38</v>
      </c>
      <c r="C81" t="s">
        <v>4</v>
      </c>
      <c r="D81" t="s">
        <v>51</v>
      </c>
      <c r="E81" s="17">
        <v>67.8</v>
      </c>
      <c r="F81" s="1">
        <v>45962</v>
      </c>
    </row>
    <row r="82" spans="1:6" x14ac:dyDescent="0.3">
      <c r="A82" t="s">
        <v>27</v>
      </c>
      <c r="B82" t="s">
        <v>38</v>
      </c>
      <c r="C82" t="s">
        <v>9</v>
      </c>
      <c r="D82" t="s">
        <v>52</v>
      </c>
      <c r="E82" s="17">
        <v>565.79999999999995</v>
      </c>
      <c r="F82" s="1">
        <v>45931</v>
      </c>
    </row>
    <row r="83" spans="1:6" x14ac:dyDescent="0.3">
      <c r="A83" t="s">
        <v>27</v>
      </c>
      <c r="B83" t="s">
        <v>38</v>
      </c>
      <c r="C83" t="s">
        <v>9</v>
      </c>
      <c r="D83" t="s">
        <v>51</v>
      </c>
      <c r="E83" s="17">
        <v>612.29999999999995</v>
      </c>
      <c r="F83" s="1">
        <v>45962</v>
      </c>
    </row>
    <row r="84" spans="1:6" x14ac:dyDescent="0.3">
      <c r="A84" t="s">
        <v>22</v>
      </c>
      <c r="B84" t="s">
        <v>38</v>
      </c>
      <c r="C84" t="s">
        <v>9</v>
      </c>
      <c r="D84" t="s">
        <v>52</v>
      </c>
      <c r="E84" s="17">
        <v>198</v>
      </c>
      <c r="F84" s="1">
        <v>45931</v>
      </c>
    </row>
    <row r="85" spans="1:6" x14ac:dyDescent="0.3">
      <c r="A85" t="s">
        <v>22</v>
      </c>
      <c r="B85" t="s">
        <v>38</v>
      </c>
      <c r="C85" t="s">
        <v>9</v>
      </c>
      <c r="D85" t="s">
        <v>51</v>
      </c>
      <c r="E85" s="17">
        <v>216.1</v>
      </c>
      <c r="F85" s="1">
        <v>45962</v>
      </c>
    </row>
    <row r="86" spans="1:6" x14ac:dyDescent="0.3">
      <c r="A86" t="s">
        <v>18</v>
      </c>
      <c r="B86" t="s">
        <v>38</v>
      </c>
      <c r="C86" t="s">
        <v>4</v>
      </c>
      <c r="D86" t="s">
        <v>52</v>
      </c>
      <c r="E86" s="17">
        <v>397</v>
      </c>
      <c r="F86" s="1">
        <v>45931</v>
      </c>
    </row>
    <row r="87" spans="1:6" x14ac:dyDescent="0.3">
      <c r="A87" t="s">
        <v>20</v>
      </c>
      <c r="B87" t="s">
        <v>38</v>
      </c>
      <c r="C87" t="s">
        <v>4</v>
      </c>
      <c r="D87" t="s">
        <v>51</v>
      </c>
      <c r="E87" s="17">
        <v>20.8</v>
      </c>
      <c r="F87" s="1">
        <v>45962</v>
      </c>
    </row>
    <row r="88" spans="1:6" x14ac:dyDescent="0.3">
      <c r="A88" t="s">
        <v>28</v>
      </c>
      <c r="B88" t="s">
        <v>38</v>
      </c>
      <c r="C88" t="s">
        <v>9</v>
      </c>
      <c r="D88" t="s">
        <v>52</v>
      </c>
      <c r="E88" s="17">
        <v>427.7</v>
      </c>
      <c r="F88" s="1">
        <v>45931</v>
      </c>
    </row>
    <row r="89" spans="1:6" x14ac:dyDescent="0.3">
      <c r="A89" t="s">
        <v>28</v>
      </c>
      <c r="B89" t="s">
        <v>38</v>
      </c>
      <c r="C89" t="s">
        <v>9</v>
      </c>
      <c r="D89" t="s">
        <v>51</v>
      </c>
      <c r="E89" s="17">
        <v>462.2</v>
      </c>
      <c r="F89" s="1">
        <v>45962</v>
      </c>
    </row>
    <row r="90" spans="1:6" x14ac:dyDescent="0.3">
      <c r="A90" t="s">
        <v>19</v>
      </c>
      <c r="B90" t="s">
        <v>38</v>
      </c>
      <c r="C90" t="s">
        <v>6</v>
      </c>
      <c r="D90" t="s">
        <v>52</v>
      </c>
      <c r="E90" s="17">
        <v>105.5</v>
      </c>
      <c r="F90" s="1">
        <v>45931</v>
      </c>
    </row>
    <row r="91" spans="1:6" x14ac:dyDescent="0.3">
      <c r="A91" t="s">
        <v>19</v>
      </c>
      <c r="B91" t="s">
        <v>38</v>
      </c>
      <c r="C91" t="s">
        <v>6</v>
      </c>
      <c r="D91" t="s">
        <v>51</v>
      </c>
      <c r="E91" s="17">
        <v>113.8</v>
      </c>
      <c r="F91" s="1">
        <v>45962</v>
      </c>
    </row>
    <row r="92" spans="1:6" x14ac:dyDescent="0.3">
      <c r="A92" t="s">
        <v>27</v>
      </c>
      <c r="B92" t="s">
        <v>38</v>
      </c>
      <c r="C92" t="s">
        <v>6</v>
      </c>
      <c r="D92" t="s">
        <v>52</v>
      </c>
      <c r="E92" s="17">
        <v>304.8</v>
      </c>
      <c r="F92" s="1">
        <v>45931</v>
      </c>
    </row>
    <row r="93" spans="1:6" x14ac:dyDescent="0.3">
      <c r="A93" t="s">
        <v>27</v>
      </c>
      <c r="B93" t="s">
        <v>38</v>
      </c>
      <c r="C93" t="s">
        <v>6</v>
      </c>
      <c r="D93" t="s">
        <v>51</v>
      </c>
      <c r="E93" s="17">
        <v>324.3</v>
      </c>
      <c r="F93" s="1">
        <v>45962</v>
      </c>
    </row>
    <row r="94" spans="1:6" x14ac:dyDescent="0.3">
      <c r="A94" t="s">
        <v>25</v>
      </c>
      <c r="B94" t="s">
        <v>38</v>
      </c>
      <c r="C94" t="s">
        <v>4</v>
      </c>
      <c r="D94" t="s">
        <v>52</v>
      </c>
      <c r="E94" s="17">
        <v>6.9</v>
      </c>
      <c r="F94" s="1">
        <v>45931</v>
      </c>
    </row>
    <row r="95" spans="1:6" x14ac:dyDescent="0.3">
      <c r="A95" t="s">
        <v>18</v>
      </c>
      <c r="B95" t="s">
        <v>38</v>
      </c>
      <c r="C95" t="s">
        <v>4</v>
      </c>
      <c r="D95" t="s">
        <v>51</v>
      </c>
      <c r="E95" s="17">
        <v>435.2</v>
      </c>
      <c r="F95" s="1">
        <v>45962</v>
      </c>
    </row>
    <row r="96" spans="1:6" x14ac:dyDescent="0.3">
      <c r="A96" t="s">
        <v>27</v>
      </c>
      <c r="B96" t="s">
        <v>38</v>
      </c>
      <c r="C96" t="s">
        <v>4</v>
      </c>
      <c r="D96" t="s">
        <v>52</v>
      </c>
      <c r="E96" s="17">
        <v>261</v>
      </c>
      <c r="F96" s="1">
        <v>45931</v>
      </c>
    </row>
    <row r="97" spans="1:6" x14ac:dyDescent="0.3">
      <c r="A97" t="s">
        <v>23</v>
      </c>
      <c r="B97" t="s">
        <v>38</v>
      </c>
      <c r="C97" t="s">
        <v>4</v>
      </c>
      <c r="D97" t="s">
        <v>51</v>
      </c>
      <c r="E97" s="17">
        <v>56.2</v>
      </c>
      <c r="F97" s="1">
        <v>45962</v>
      </c>
    </row>
    <row r="98" spans="1:6" x14ac:dyDescent="0.3">
      <c r="A98" t="s">
        <v>29</v>
      </c>
      <c r="B98" t="s">
        <v>38</v>
      </c>
      <c r="C98" t="s">
        <v>9</v>
      </c>
      <c r="D98" t="s">
        <v>52</v>
      </c>
      <c r="E98" s="17">
        <v>192.1</v>
      </c>
      <c r="F98" s="1">
        <v>45931</v>
      </c>
    </row>
    <row r="99" spans="1:6" x14ac:dyDescent="0.3">
      <c r="A99" t="s">
        <v>29</v>
      </c>
      <c r="B99" t="s">
        <v>38</v>
      </c>
      <c r="C99" t="s">
        <v>9</v>
      </c>
      <c r="D99" t="s">
        <v>51</v>
      </c>
      <c r="E99" s="17">
        <v>209.2</v>
      </c>
      <c r="F99" s="1">
        <v>45962</v>
      </c>
    </row>
    <row r="100" spans="1:6" x14ac:dyDescent="0.3">
      <c r="A100" t="s">
        <v>21</v>
      </c>
      <c r="B100" t="s">
        <v>38</v>
      </c>
      <c r="C100" t="s">
        <v>6</v>
      </c>
      <c r="D100" t="s">
        <v>52</v>
      </c>
      <c r="E100" s="17">
        <v>209.6</v>
      </c>
      <c r="F100" s="1">
        <v>45931</v>
      </c>
    </row>
    <row r="101" spans="1:6" x14ac:dyDescent="0.3">
      <c r="A101" t="s">
        <v>21</v>
      </c>
      <c r="B101" t="s">
        <v>38</v>
      </c>
      <c r="C101" t="s">
        <v>6</v>
      </c>
      <c r="D101" t="s">
        <v>51</v>
      </c>
      <c r="E101" s="17">
        <v>220.8</v>
      </c>
      <c r="F101" s="1">
        <v>45962</v>
      </c>
    </row>
    <row r="102" spans="1:6" x14ac:dyDescent="0.3">
      <c r="A102" t="s">
        <v>20</v>
      </c>
      <c r="B102" t="s">
        <v>38</v>
      </c>
      <c r="C102" t="s">
        <v>4</v>
      </c>
      <c r="D102" t="s">
        <v>52</v>
      </c>
      <c r="E102" s="17">
        <v>19.2</v>
      </c>
      <c r="F102" s="1">
        <v>45931</v>
      </c>
    </row>
    <row r="103" spans="1:6" x14ac:dyDescent="0.3">
      <c r="A103" t="s">
        <v>22</v>
      </c>
      <c r="B103" t="s">
        <v>38</v>
      </c>
      <c r="C103" t="s">
        <v>4</v>
      </c>
      <c r="D103" t="s">
        <v>51</v>
      </c>
      <c r="E103" s="17">
        <v>136.19999999999999</v>
      </c>
      <c r="F103" s="1">
        <v>45962</v>
      </c>
    </row>
    <row r="104" spans="1:6" x14ac:dyDescent="0.3">
      <c r="A104" t="s">
        <v>29</v>
      </c>
      <c r="B104" t="s">
        <v>38</v>
      </c>
      <c r="C104" t="s">
        <v>6</v>
      </c>
      <c r="D104" t="s">
        <v>52</v>
      </c>
      <c r="E104" s="17">
        <v>59.6</v>
      </c>
      <c r="F104" s="1">
        <v>45931</v>
      </c>
    </row>
    <row r="105" spans="1:6" x14ac:dyDescent="0.3">
      <c r="A105" t="s">
        <v>29</v>
      </c>
      <c r="B105" t="s">
        <v>38</v>
      </c>
      <c r="C105" t="s">
        <v>6</v>
      </c>
      <c r="D105" t="s">
        <v>51</v>
      </c>
      <c r="E105" s="17">
        <v>64.900000000000006</v>
      </c>
      <c r="F105" s="1">
        <v>45962</v>
      </c>
    </row>
    <row r="106" spans="1:6" x14ac:dyDescent="0.3">
      <c r="A106" t="s">
        <v>26</v>
      </c>
      <c r="B106" t="s">
        <v>38</v>
      </c>
      <c r="C106" t="s">
        <v>6</v>
      </c>
      <c r="D106" t="s">
        <v>52</v>
      </c>
      <c r="E106" s="17">
        <v>66.2</v>
      </c>
      <c r="F106" s="1">
        <v>45931</v>
      </c>
    </row>
    <row r="107" spans="1:6" x14ac:dyDescent="0.3">
      <c r="A107" t="s">
        <v>26</v>
      </c>
      <c r="B107" t="s">
        <v>38</v>
      </c>
      <c r="C107" t="s">
        <v>6</v>
      </c>
      <c r="D107" t="s">
        <v>51</v>
      </c>
      <c r="E107" s="17">
        <v>74</v>
      </c>
      <c r="F107" s="1">
        <v>45962</v>
      </c>
    </row>
    <row r="108" spans="1:6" x14ac:dyDescent="0.3">
      <c r="A108" t="s">
        <v>30</v>
      </c>
      <c r="B108" t="s">
        <v>38</v>
      </c>
      <c r="C108" t="s">
        <v>9</v>
      </c>
      <c r="D108" t="s">
        <v>52</v>
      </c>
      <c r="E108" s="17">
        <v>346.6</v>
      </c>
      <c r="F108" s="1">
        <v>45931</v>
      </c>
    </row>
    <row r="109" spans="1:6" x14ac:dyDescent="0.3">
      <c r="A109" t="s">
        <v>30</v>
      </c>
      <c r="B109" t="s">
        <v>38</v>
      </c>
      <c r="C109" t="s">
        <v>9</v>
      </c>
      <c r="D109" t="s">
        <v>51</v>
      </c>
      <c r="E109" s="17">
        <v>378.5</v>
      </c>
      <c r="F109" s="1">
        <v>45962</v>
      </c>
    </row>
    <row r="110" spans="1:6" x14ac:dyDescent="0.3">
      <c r="A110" t="s">
        <v>28</v>
      </c>
      <c r="B110" t="s">
        <v>38</v>
      </c>
      <c r="C110" t="s">
        <v>6</v>
      </c>
      <c r="D110" t="s">
        <v>52</v>
      </c>
      <c r="E110" s="17">
        <v>253</v>
      </c>
      <c r="F110" s="1">
        <v>45931</v>
      </c>
    </row>
    <row r="111" spans="1:6" x14ac:dyDescent="0.3">
      <c r="A111" t="s">
        <v>28</v>
      </c>
      <c r="B111" t="s">
        <v>38</v>
      </c>
      <c r="C111" t="s">
        <v>6</v>
      </c>
      <c r="D111" t="s">
        <v>51</v>
      </c>
      <c r="E111" s="17">
        <v>269.5</v>
      </c>
      <c r="F111" s="1">
        <v>45962</v>
      </c>
    </row>
    <row r="112" spans="1:6" x14ac:dyDescent="0.3">
      <c r="A112" t="s">
        <v>18</v>
      </c>
      <c r="B112" t="s">
        <v>38</v>
      </c>
      <c r="C112" t="s">
        <v>6</v>
      </c>
      <c r="D112" t="s">
        <v>52</v>
      </c>
      <c r="E112" s="17">
        <v>168.2</v>
      </c>
      <c r="F112" s="1">
        <v>45931</v>
      </c>
    </row>
    <row r="113" spans="1:6" x14ac:dyDescent="0.3">
      <c r="A113" t="s">
        <v>18</v>
      </c>
      <c r="B113" t="s">
        <v>38</v>
      </c>
      <c r="C113" t="s">
        <v>6</v>
      </c>
      <c r="D113" t="s">
        <v>51</v>
      </c>
      <c r="E113" s="17">
        <v>182.5</v>
      </c>
      <c r="F113" s="1">
        <v>45962</v>
      </c>
    </row>
    <row r="114" spans="1:6" x14ac:dyDescent="0.3">
      <c r="A114" t="s">
        <v>22</v>
      </c>
      <c r="B114" t="s">
        <v>38</v>
      </c>
      <c r="C114" t="s">
        <v>4</v>
      </c>
      <c r="D114" t="s">
        <v>52</v>
      </c>
      <c r="E114" s="17">
        <v>123.6</v>
      </c>
      <c r="F114" s="1">
        <v>45931</v>
      </c>
    </row>
    <row r="115" spans="1:6" x14ac:dyDescent="0.3">
      <c r="A115" t="s">
        <v>28</v>
      </c>
      <c r="B115" t="s">
        <v>38</v>
      </c>
      <c r="C115" t="s">
        <v>4</v>
      </c>
      <c r="D115" t="s">
        <v>51</v>
      </c>
      <c r="E115" s="17">
        <v>192.7</v>
      </c>
      <c r="F115" s="1">
        <v>45962</v>
      </c>
    </row>
    <row r="116" spans="1:6" x14ac:dyDescent="0.3">
      <c r="A116" t="s">
        <v>23</v>
      </c>
      <c r="B116" t="s">
        <v>38</v>
      </c>
      <c r="C116" t="s">
        <v>6</v>
      </c>
      <c r="D116" t="s">
        <v>52</v>
      </c>
      <c r="E116" s="17">
        <v>162.19999999999999</v>
      </c>
      <c r="F116" s="1">
        <v>45931</v>
      </c>
    </row>
    <row r="117" spans="1:6" x14ac:dyDescent="0.3">
      <c r="A117" t="s">
        <v>23</v>
      </c>
      <c r="B117" t="s">
        <v>38</v>
      </c>
      <c r="C117" t="s">
        <v>6</v>
      </c>
      <c r="D117" t="s">
        <v>51</v>
      </c>
      <c r="E117" s="17">
        <v>172.3</v>
      </c>
      <c r="F117" s="1">
        <v>45962</v>
      </c>
    </row>
    <row r="118" spans="1:6" x14ac:dyDescent="0.3">
      <c r="A118" t="s">
        <v>26</v>
      </c>
      <c r="B118" t="s">
        <v>38</v>
      </c>
      <c r="C118" t="s">
        <v>9</v>
      </c>
      <c r="D118" t="s">
        <v>52</v>
      </c>
      <c r="E118" s="17">
        <v>390.2</v>
      </c>
      <c r="F118" s="1">
        <v>45931</v>
      </c>
    </row>
    <row r="119" spans="1:6" x14ac:dyDescent="0.3">
      <c r="A119" t="s">
        <v>26</v>
      </c>
      <c r="B119" t="s">
        <v>38</v>
      </c>
      <c r="C119" t="s">
        <v>9</v>
      </c>
      <c r="D119" t="s">
        <v>51</v>
      </c>
      <c r="E119" s="17">
        <v>430.3</v>
      </c>
      <c r="F119" s="1">
        <v>45962</v>
      </c>
    </row>
    <row r="120" spans="1:6" x14ac:dyDescent="0.3">
      <c r="A120" t="s">
        <v>19</v>
      </c>
      <c r="B120" t="s">
        <v>38</v>
      </c>
      <c r="C120" t="s">
        <v>4</v>
      </c>
      <c r="D120" t="s">
        <v>52</v>
      </c>
      <c r="E120" s="17">
        <v>61.6</v>
      </c>
      <c r="F120" s="1">
        <v>45931</v>
      </c>
    </row>
    <row r="121" spans="1:6" x14ac:dyDescent="0.3">
      <c r="A121" t="s">
        <v>29</v>
      </c>
      <c r="B121" t="s">
        <v>38</v>
      </c>
      <c r="C121" t="s">
        <v>4</v>
      </c>
      <c r="D121" t="s">
        <v>51</v>
      </c>
      <c r="E121" s="17">
        <v>144.30000000000001</v>
      </c>
      <c r="F121" s="1">
        <v>45962</v>
      </c>
    </row>
    <row r="122" spans="1:6" x14ac:dyDescent="0.3">
      <c r="A122" t="s">
        <v>24</v>
      </c>
      <c r="B122" t="s">
        <v>38</v>
      </c>
      <c r="C122" t="s">
        <v>9</v>
      </c>
      <c r="D122" t="s">
        <v>52</v>
      </c>
      <c r="E122" s="17">
        <v>50.5</v>
      </c>
      <c r="F122" s="1">
        <v>45931</v>
      </c>
    </row>
    <row r="123" spans="1:6" x14ac:dyDescent="0.3">
      <c r="A123" t="s">
        <v>24</v>
      </c>
      <c r="B123" t="s">
        <v>38</v>
      </c>
      <c r="C123" t="s">
        <v>9</v>
      </c>
      <c r="D123" t="s">
        <v>51</v>
      </c>
      <c r="E123" s="17">
        <v>55.3</v>
      </c>
      <c r="F123" s="1">
        <v>45962</v>
      </c>
    </row>
    <row r="124" spans="1:6" x14ac:dyDescent="0.3">
      <c r="A124" t="s">
        <v>30</v>
      </c>
      <c r="B124" t="s">
        <v>38</v>
      </c>
      <c r="C124" t="s">
        <v>6</v>
      </c>
      <c r="D124" t="s">
        <v>52</v>
      </c>
      <c r="E124" s="17">
        <v>111.2</v>
      </c>
      <c r="F124" s="1">
        <v>45931</v>
      </c>
    </row>
    <row r="125" spans="1:6" x14ac:dyDescent="0.3">
      <c r="A125" t="s">
        <v>30</v>
      </c>
      <c r="B125" t="s">
        <v>38</v>
      </c>
      <c r="C125" t="s">
        <v>6</v>
      </c>
      <c r="D125" t="s">
        <v>51</v>
      </c>
      <c r="E125" s="17">
        <v>118.2</v>
      </c>
      <c r="F125" s="1">
        <v>45962</v>
      </c>
    </row>
    <row r="126" spans="1:6" x14ac:dyDescent="0.3">
      <c r="A126" t="s">
        <v>24</v>
      </c>
      <c r="B126" t="s">
        <v>38</v>
      </c>
      <c r="C126" t="s">
        <v>6</v>
      </c>
      <c r="D126" t="s">
        <v>52</v>
      </c>
      <c r="E126" s="17">
        <v>0</v>
      </c>
      <c r="F126" s="1">
        <v>45931</v>
      </c>
    </row>
    <row r="127" spans="1:6" x14ac:dyDescent="0.3">
      <c r="A127" t="s">
        <v>24</v>
      </c>
      <c r="B127" t="s">
        <v>38</v>
      </c>
      <c r="C127" t="s">
        <v>6</v>
      </c>
      <c r="D127" t="s">
        <v>51</v>
      </c>
      <c r="E127" s="17">
        <v>0</v>
      </c>
      <c r="F127" s="1">
        <v>45962</v>
      </c>
    </row>
    <row r="128" spans="1:6" x14ac:dyDescent="0.3">
      <c r="A128" t="s">
        <v>23</v>
      </c>
      <c r="B128" t="s">
        <v>38</v>
      </c>
      <c r="C128" t="s">
        <v>4</v>
      </c>
      <c r="D128" t="s">
        <v>52</v>
      </c>
      <c r="E128" s="17">
        <v>50.5</v>
      </c>
      <c r="F128" s="1">
        <v>45931</v>
      </c>
    </row>
    <row r="129" spans="1:6" x14ac:dyDescent="0.3">
      <c r="A129" t="s">
        <v>24</v>
      </c>
      <c r="B129" t="s">
        <v>38</v>
      </c>
      <c r="C129" t="s">
        <v>4</v>
      </c>
      <c r="D129" t="s">
        <v>51</v>
      </c>
      <c r="E129" s="17">
        <v>0</v>
      </c>
      <c r="F129" s="1">
        <v>45962</v>
      </c>
    </row>
    <row r="130" spans="1:6" x14ac:dyDescent="0.3">
      <c r="A130" t="s">
        <v>23</v>
      </c>
      <c r="B130" t="s">
        <v>38</v>
      </c>
      <c r="C130" t="s">
        <v>9</v>
      </c>
      <c r="D130" t="s">
        <v>52</v>
      </c>
      <c r="E130" s="17">
        <v>212.7</v>
      </c>
      <c r="F130" s="1">
        <v>45931</v>
      </c>
    </row>
    <row r="131" spans="1:6" x14ac:dyDescent="0.3">
      <c r="A131" t="s">
        <v>23</v>
      </c>
      <c r="B131" t="s">
        <v>38</v>
      </c>
      <c r="C131" t="s">
        <v>9</v>
      </c>
      <c r="D131" t="s">
        <v>51</v>
      </c>
      <c r="E131" s="17">
        <v>228.5</v>
      </c>
      <c r="F131" s="1">
        <v>45962</v>
      </c>
    </row>
    <row r="132" spans="1:6" x14ac:dyDescent="0.3">
      <c r="A132" t="s">
        <v>19</v>
      </c>
      <c r="B132" t="s">
        <v>38</v>
      </c>
      <c r="C132" t="s">
        <v>9</v>
      </c>
      <c r="D132" t="s">
        <v>52</v>
      </c>
      <c r="E132" s="17">
        <v>167.1</v>
      </c>
      <c r="F132" s="1">
        <v>45931</v>
      </c>
    </row>
    <row r="133" spans="1:6" x14ac:dyDescent="0.3">
      <c r="A133" t="s">
        <v>19</v>
      </c>
      <c r="B133" t="s">
        <v>38</v>
      </c>
      <c r="C133" t="s">
        <v>9</v>
      </c>
      <c r="D133" t="s">
        <v>51</v>
      </c>
      <c r="E133" s="17">
        <v>181.6</v>
      </c>
      <c r="F133" s="1">
        <v>45962</v>
      </c>
    </row>
    <row r="134" spans="1:6" x14ac:dyDescent="0.3">
      <c r="A134" t="s">
        <v>21</v>
      </c>
      <c r="B134" t="s">
        <v>38</v>
      </c>
      <c r="C134" t="s">
        <v>4</v>
      </c>
      <c r="D134" t="s">
        <v>52</v>
      </c>
      <c r="E134" s="17">
        <v>28.2</v>
      </c>
      <c r="F134" s="1">
        <v>45931</v>
      </c>
    </row>
    <row r="135" spans="1:6" x14ac:dyDescent="0.3">
      <c r="A135" t="s">
        <v>27</v>
      </c>
      <c r="B135" t="s">
        <v>38</v>
      </c>
      <c r="C135" t="s">
        <v>4</v>
      </c>
      <c r="D135" t="s">
        <v>51</v>
      </c>
      <c r="E135" s="17">
        <v>288</v>
      </c>
      <c r="F135" s="1">
        <v>45962</v>
      </c>
    </row>
    <row r="136" spans="1:6" x14ac:dyDescent="0.3">
      <c r="A136" t="s">
        <v>22</v>
      </c>
      <c r="B136" t="s">
        <v>38</v>
      </c>
      <c r="C136" t="s">
        <v>6</v>
      </c>
      <c r="D136" t="s">
        <v>52</v>
      </c>
      <c r="E136" s="17">
        <v>74.400000000000006</v>
      </c>
      <c r="F136" s="1">
        <v>45931</v>
      </c>
    </row>
    <row r="137" spans="1:6" x14ac:dyDescent="0.3">
      <c r="A137" t="s">
        <v>22</v>
      </c>
      <c r="B137" t="s">
        <v>38</v>
      </c>
      <c r="C137" t="s">
        <v>6</v>
      </c>
      <c r="D137" t="s">
        <v>51</v>
      </c>
      <c r="E137" s="17">
        <v>79.900000000000006</v>
      </c>
      <c r="F137" s="1">
        <v>45962</v>
      </c>
    </row>
    <row r="138" spans="1:6" x14ac:dyDescent="0.3">
      <c r="A138" t="s">
        <v>20</v>
      </c>
      <c r="B138" t="s">
        <v>38</v>
      </c>
      <c r="C138" t="s">
        <v>9</v>
      </c>
      <c r="D138" t="s">
        <v>52</v>
      </c>
      <c r="E138" s="17">
        <v>240.1</v>
      </c>
      <c r="F138" s="1">
        <v>45931</v>
      </c>
    </row>
    <row r="139" spans="1:6" x14ac:dyDescent="0.3">
      <c r="A139" t="s">
        <v>20</v>
      </c>
      <c r="B139" t="s">
        <v>38</v>
      </c>
      <c r="C139" t="s">
        <v>9</v>
      </c>
      <c r="D139" t="s">
        <v>51</v>
      </c>
      <c r="E139" s="17">
        <v>259.5</v>
      </c>
      <c r="F139" s="1">
        <v>45962</v>
      </c>
    </row>
    <row r="140" spans="1:6" x14ac:dyDescent="0.3">
      <c r="A140" t="s">
        <v>30</v>
      </c>
      <c r="B140" t="s">
        <v>38</v>
      </c>
      <c r="C140" t="s">
        <v>4</v>
      </c>
      <c r="D140" t="s">
        <v>52</v>
      </c>
      <c r="E140" s="17">
        <v>235.4</v>
      </c>
      <c r="F140" s="1">
        <v>45931</v>
      </c>
    </row>
    <row r="141" spans="1:6" x14ac:dyDescent="0.3">
      <c r="A141" t="s">
        <v>26</v>
      </c>
      <c r="B141" t="s">
        <v>38</v>
      </c>
      <c r="C141" t="s">
        <v>4</v>
      </c>
      <c r="D141" t="s">
        <v>51</v>
      </c>
      <c r="E141" s="17">
        <v>356.3</v>
      </c>
      <c r="F141" s="1">
        <v>45962</v>
      </c>
    </row>
    <row r="142" spans="1:6" x14ac:dyDescent="0.3">
      <c r="A142" t="s">
        <v>25</v>
      </c>
      <c r="B142" t="s">
        <v>38</v>
      </c>
      <c r="C142" t="s">
        <v>9</v>
      </c>
      <c r="D142" t="s">
        <v>52</v>
      </c>
      <c r="E142" s="17">
        <v>130.30000000000001</v>
      </c>
      <c r="F142" s="1">
        <v>45931</v>
      </c>
    </row>
    <row r="143" spans="1:6" x14ac:dyDescent="0.3">
      <c r="A143" t="s">
        <v>25</v>
      </c>
      <c r="B143" t="s">
        <v>38</v>
      </c>
      <c r="C143" t="s">
        <v>9</v>
      </c>
      <c r="D143" t="s">
        <v>51</v>
      </c>
      <c r="E143" s="17">
        <v>144.5</v>
      </c>
      <c r="F143" s="1">
        <v>45962</v>
      </c>
    </row>
    <row r="144" spans="1:6" x14ac:dyDescent="0.3">
      <c r="A144" t="s">
        <v>26</v>
      </c>
      <c r="B144" t="s">
        <v>38</v>
      </c>
      <c r="C144" t="s">
        <v>4</v>
      </c>
      <c r="D144" t="s">
        <v>52</v>
      </c>
      <c r="E144" s="17">
        <v>324</v>
      </c>
      <c r="F144" s="1">
        <v>45931</v>
      </c>
    </row>
    <row r="145" spans="1:8" x14ac:dyDescent="0.3">
      <c r="A145" t="s">
        <v>25</v>
      </c>
      <c r="B145" t="s">
        <v>38</v>
      </c>
      <c r="C145" t="s">
        <v>4</v>
      </c>
      <c r="D145" t="s">
        <v>51</v>
      </c>
      <c r="E145" s="17">
        <v>7.5</v>
      </c>
      <c r="F145" s="1">
        <v>45962</v>
      </c>
    </row>
    <row r="146" spans="1:8" x14ac:dyDescent="0.3">
      <c r="A146" t="s">
        <v>29</v>
      </c>
      <c r="B146" t="s">
        <v>38</v>
      </c>
      <c r="C146" t="s">
        <v>4</v>
      </c>
      <c r="D146" t="s">
        <v>52</v>
      </c>
      <c r="E146" s="17">
        <v>132.5</v>
      </c>
      <c r="F146" s="1">
        <v>45931</v>
      </c>
    </row>
    <row r="147" spans="1:8" x14ac:dyDescent="0.3">
      <c r="A147" t="s">
        <v>30</v>
      </c>
      <c r="B147" t="s">
        <v>38</v>
      </c>
      <c r="C147" t="s">
        <v>4</v>
      </c>
      <c r="D147" t="s">
        <v>51</v>
      </c>
      <c r="E147" s="17">
        <v>260.3</v>
      </c>
      <c r="F147" s="1">
        <v>45962</v>
      </c>
    </row>
    <row r="148" spans="1:8" x14ac:dyDescent="0.3">
      <c r="A148" t="s">
        <v>21</v>
      </c>
      <c r="B148" t="s">
        <v>38</v>
      </c>
      <c r="C148" t="s">
        <v>9</v>
      </c>
      <c r="D148" t="s">
        <v>52</v>
      </c>
      <c r="E148" s="17">
        <v>237.8</v>
      </c>
      <c r="F148" s="1">
        <v>45931</v>
      </c>
    </row>
    <row r="149" spans="1:8" x14ac:dyDescent="0.3">
      <c r="A149" t="s">
        <v>21</v>
      </c>
      <c r="B149" t="s">
        <v>38</v>
      </c>
      <c r="C149" t="s">
        <v>9</v>
      </c>
      <c r="D149" t="s">
        <v>51</v>
      </c>
      <c r="E149" s="17">
        <v>251.7</v>
      </c>
      <c r="F149" s="1">
        <v>45962</v>
      </c>
    </row>
    <row r="150" spans="1:8" x14ac:dyDescent="0.3">
      <c r="A150" t="s">
        <v>20</v>
      </c>
      <c r="B150" t="s">
        <v>38</v>
      </c>
      <c r="C150" t="s">
        <v>6</v>
      </c>
      <c r="D150" t="s">
        <v>52</v>
      </c>
      <c r="E150" s="17">
        <v>220.9</v>
      </c>
      <c r="F150" s="1">
        <v>45931</v>
      </c>
    </row>
    <row r="151" spans="1:8" x14ac:dyDescent="0.3">
      <c r="A151" t="s">
        <v>20</v>
      </c>
      <c r="B151" t="s">
        <v>38</v>
      </c>
      <c r="C151" t="s">
        <v>6</v>
      </c>
      <c r="D151" t="s">
        <v>51</v>
      </c>
      <c r="E151" s="17">
        <v>238.7</v>
      </c>
      <c r="F151" s="1">
        <v>45962</v>
      </c>
    </row>
    <row r="152" spans="1:8" x14ac:dyDescent="0.3">
      <c r="A152" t="s">
        <v>11</v>
      </c>
      <c r="B152" t="s">
        <v>38</v>
      </c>
      <c r="C152" t="s">
        <v>9</v>
      </c>
      <c r="D152" t="s">
        <v>54</v>
      </c>
      <c r="E152" s="17">
        <v>6683.5</v>
      </c>
      <c r="F152" s="1">
        <v>45597</v>
      </c>
    </row>
    <row r="153" spans="1:8" x14ac:dyDescent="0.3">
      <c r="A153" t="s">
        <v>11</v>
      </c>
      <c r="B153" t="s">
        <v>38</v>
      </c>
      <c r="C153" t="s">
        <v>4</v>
      </c>
      <c r="D153" t="s">
        <v>54</v>
      </c>
      <c r="E153" s="17">
        <v>2693.4505000000004</v>
      </c>
      <c r="F153" s="1">
        <v>45597</v>
      </c>
    </row>
    <row r="154" spans="1:8" x14ac:dyDescent="0.3">
      <c r="A154" t="s">
        <v>11</v>
      </c>
      <c r="B154" t="s">
        <v>38</v>
      </c>
      <c r="C154" t="s">
        <v>6</v>
      </c>
      <c r="D154" t="s">
        <v>54</v>
      </c>
      <c r="E154" s="17">
        <v>3990.0494999999996</v>
      </c>
      <c r="F154" s="1">
        <v>45597</v>
      </c>
      <c r="H154" s="25"/>
    </row>
    <row r="155" spans="1:8" x14ac:dyDescent="0.3">
      <c r="A155" t="s">
        <v>11</v>
      </c>
      <c r="B155" t="s">
        <v>38</v>
      </c>
      <c r="C155" t="s">
        <v>9</v>
      </c>
      <c r="D155" t="s">
        <v>53</v>
      </c>
      <c r="E155" s="17">
        <v>6148.9000000000005</v>
      </c>
      <c r="F155" s="1">
        <v>45566</v>
      </c>
      <c r="H155" s="25">
        <v>2952.1000000000004</v>
      </c>
    </row>
    <row r="156" spans="1:8" x14ac:dyDescent="0.3">
      <c r="A156" t="s">
        <v>11</v>
      </c>
      <c r="B156" t="s">
        <v>38</v>
      </c>
      <c r="C156" t="s">
        <v>4</v>
      </c>
      <c r="D156" t="s">
        <v>53</v>
      </c>
      <c r="E156" s="17">
        <v>2462.4</v>
      </c>
      <c r="F156" s="1">
        <v>45566</v>
      </c>
      <c r="H156" s="25">
        <v>4260.6000000000004</v>
      </c>
    </row>
    <row r="157" spans="1:8" x14ac:dyDescent="0.3">
      <c r="A157" t="s">
        <v>11</v>
      </c>
      <c r="B157" t="s">
        <v>38</v>
      </c>
      <c r="C157" t="s">
        <v>6</v>
      </c>
      <c r="D157" t="s">
        <v>53</v>
      </c>
      <c r="E157" s="17">
        <v>3686.5000000000005</v>
      </c>
      <c r="F157" s="1">
        <v>45566</v>
      </c>
    </row>
    <row r="158" spans="1:8" x14ac:dyDescent="0.3">
      <c r="A158" t="s">
        <v>10</v>
      </c>
      <c r="B158" t="s">
        <v>38</v>
      </c>
      <c r="C158" t="s">
        <v>9</v>
      </c>
      <c r="D158" t="s">
        <v>54</v>
      </c>
      <c r="E158" s="17">
        <v>533</v>
      </c>
      <c r="F158" s="1">
        <v>45597</v>
      </c>
    </row>
    <row r="159" spans="1:8" x14ac:dyDescent="0.3">
      <c r="A159" t="s">
        <v>7</v>
      </c>
      <c r="B159" t="s">
        <v>38</v>
      </c>
      <c r="C159" t="s">
        <v>9</v>
      </c>
      <c r="D159" t="s">
        <v>54</v>
      </c>
      <c r="E159" s="17">
        <v>255</v>
      </c>
      <c r="F159" s="1">
        <v>45597</v>
      </c>
    </row>
    <row r="160" spans="1:8" x14ac:dyDescent="0.3">
      <c r="A160" t="s">
        <v>5</v>
      </c>
      <c r="B160" t="s">
        <v>38</v>
      </c>
      <c r="C160" t="s">
        <v>9</v>
      </c>
      <c r="D160" t="s">
        <v>54</v>
      </c>
      <c r="E160" s="17">
        <v>193</v>
      </c>
      <c r="F160" s="1">
        <v>45597</v>
      </c>
    </row>
    <row r="161" spans="1:6" x14ac:dyDescent="0.3">
      <c r="A161" t="s">
        <v>3</v>
      </c>
      <c r="B161" t="s">
        <v>38</v>
      </c>
      <c r="C161" t="s">
        <v>9</v>
      </c>
      <c r="D161" t="s">
        <v>54</v>
      </c>
      <c r="E161" s="17">
        <v>26</v>
      </c>
      <c r="F161" s="1">
        <v>45597</v>
      </c>
    </row>
    <row r="162" spans="1:6" x14ac:dyDescent="0.3">
      <c r="A162" t="s">
        <v>8</v>
      </c>
      <c r="B162" t="s">
        <v>38</v>
      </c>
      <c r="C162" t="s">
        <v>9</v>
      </c>
      <c r="D162" t="s">
        <v>54</v>
      </c>
      <c r="E162" s="17">
        <v>384</v>
      </c>
      <c r="F162" s="1">
        <v>45597</v>
      </c>
    </row>
    <row r="163" spans="1:6" x14ac:dyDescent="0.3">
      <c r="A163" t="s">
        <v>13</v>
      </c>
      <c r="B163" t="s">
        <v>38</v>
      </c>
      <c r="C163" t="s">
        <v>9</v>
      </c>
      <c r="D163" t="s">
        <v>54</v>
      </c>
      <c r="E163" s="17">
        <v>223</v>
      </c>
      <c r="F163" s="1">
        <v>45597</v>
      </c>
    </row>
    <row r="164" spans="1:6" x14ac:dyDescent="0.3">
      <c r="A164" t="s">
        <v>14</v>
      </c>
      <c r="B164" t="s">
        <v>38</v>
      </c>
      <c r="C164" t="s">
        <v>9</v>
      </c>
      <c r="D164" t="s">
        <v>54</v>
      </c>
      <c r="E164" s="17">
        <v>16</v>
      </c>
      <c r="F164" s="1">
        <v>45597</v>
      </c>
    </row>
    <row r="165" spans="1:6" x14ac:dyDescent="0.3">
      <c r="A165" t="s">
        <v>15</v>
      </c>
      <c r="B165" t="s">
        <v>38</v>
      </c>
      <c r="C165" t="s">
        <v>9</v>
      </c>
      <c r="D165" t="s">
        <v>54</v>
      </c>
      <c r="E165" s="17">
        <v>288</v>
      </c>
      <c r="F165" s="1">
        <v>45597</v>
      </c>
    </row>
    <row r="166" spans="1:6" x14ac:dyDescent="0.3">
      <c r="A166" t="s">
        <v>12</v>
      </c>
      <c r="B166" t="s">
        <v>38</v>
      </c>
      <c r="C166" t="s">
        <v>9</v>
      </c>
      <c r="D166" t="s">
        <v>54</v>
      </c>
      <c r="E166" s="17">
        <v>303</v>
      </c>
      <c r="F166" s="1">
        <v>45597</v>
      </c>
    </row>
    <row r="167" spans="1:6" x14ac:dyDescent="0.3">
      <c r="A167" t="s">
        <v>16</v>
      </c>
      <c r="B167" t="s">
        <v>38</v>
      </c>
      <c r="C167" t="s">
        <v>9</v>
      </c>
      <c r="D167" t="s">
        <v>54</v>
      </c>
      <c r="E167" s="17">
        <v>245</v>
      </c>
      <c r="F167" s="1">
        <v>45597</v>
      </c>
    </row>
    <row r="168" spans="1:6" x14ac:dyDescent="0.3">
      <c r="A168" t="s">
        <v>17</v>
      </c>
      <c r="B168" t="s">
        <v>38</v>
      </c>
      <c r="C168" t="s">
        <v>9</v>
      </c>
      <c r="D168" t="s">
        <v>54</v>
      </c>
      <c r="E168" s="17">
        <v>48</v>
      </c>
      <c r="F168" s="1">
        <v>45597</v>
      </c>
    </row>
    <row r="169" spans="1:6" x14ac:dyDescent="0.3">
      <c r="A169" t="s">
        <v>21</v>
      </c>
      <c r="B169" t="s">
        <v>38</v>
      </c>
      <c r="C169" t="s">
        <v>9</v>
      </c>
      <c r="D169" t="s">
        <v>54</v>
      </c>
      <c r="E169" s="17">
        <v>271</v>
      </c>
      <c r="F169" s="1">
        <v>45597</v>
      </c>
    </row>
    <row r="170" spans="1:6" x14ac:dyDescent="0.3">
      <c r="A170" t="s">
        <v>19</v>
      </c>
      <c r="B170" t="s">
        <v>38</v>
      </c>
      <c r="C170" t="s">
        <v>9</v>
      </c>
      <c r="D170" t="s">
        <v>54</v>
      </c>
      <c r="E170" s="17">
        <v>188</v>
      </c>
      <c r="F170" s="1">
        <v>45597</v>
      </c>
    </row>
    <row r="171" spans="1:6" x14ac:dyDescent="0.3">
      <c r="A171" t="s">
        <v>20</v>
      </c>
      <c r="B171" t="s">
        <v>38</v>
      </c>
      <c r="C171" t="s">
        <v>9</v>
      </c>
      <c r="D171" t="s">
        <v>54</v>
      </c>
      <c r="E171" s="17">
        <v>263</v>
      </c>
      <c r="F171" s="1">
        <v>45597</v>
      </c>
    </row>
    <row r="172" spans="1:6" x14ac:dyDescent="0.3">
      <c r="A172" t="s">
        <v>18</v>
      </c>
      <c r="B172" t="s">
        <v>38</v>
      </c>
      <c r="C172" t="s">
        <v>9</v>
      </c>
      <c r="D172" t="s">
        <v>54</v>
      </c>
      <c r="E172" s="17">
        <v>615</v>
      </c>
      <c r="F172" s="1">
        <v>45597</v>
      </c>
    </row>
    <row r="173" spans="1:6" x14ac:dyDescent="0.3">
      <c r="A173" t="s">
        <v>23</v>
      </c>
      <c r="B173" t="s">
        <v>38</v>
      </c>
      <c r="C173" t="s">
        <v>9</v>
      </c>
      <c r="D173" t="s">
        <v>54</v>
      </c>
      <c r="E173" s="17">
        <v>267</v>
      </c>
      <c r="F173" s="1">
        <v>45597</v>
      </c>
    </row>
    <row r="174" spans="1:6" x14ac:dyDescent="0.3">
      <c r="A174" t="s">
        <v>22</v>
      </c>
      <c r="B174" t="s">
        <v>38</v>
      </c>
      <c r="C174" t="s">
        <v>9</v>
      </c>
      <c r="D174" t="s">
        <v>54</v>
      </c>
      <c r="E174" s="17">
        <v>239</v>
      </c>
      <c r="F174" s="1">
        <v>45597</v>
      </c>
    </row>
    <row r="175" spans="1:6" x14ac:dyDescent="0.3">
      <c r="A175" t="s">
        <v>28</v>
      </c>
      <c r="B175" t="s">
        <v>38</v>
      </c>
      <c r="C175" t="s">
        <v>9</v>
      </c>
      <c r="D175" t="s">
        <v>54</v>
      </c>
      <c r="E175" s="17">
        <v>472</v>
      </c>
      <c r="F175" s="1">
        <v>45597</v>
      </c>
    </row>
    <row r="176" spans="1:6" x14ac:dyDescent="0.3">
      <c r="A176" t="s">
        <v>29</v>
      </c>
      <c r="B176" t="s">
        <v>38</v>
      </c>
      <c r="C176" t="s">
        <v>9</v>
      </c>
      <c r="D176" t="s">
        <v>54</v>
      </c>
      <c r="E176" s="17">
        <v>191</v>
      </c>
      <c r="F176" s="1">
        <v>45597</v>
      </c>
    </row>
    <row r="177" spans="1:6" x14ac:dyDescent="0.3">
      <c r="A177" t="s">
        <v>24</v>
      </c>
      <c r="B177" t="s">
        <v>38</v>
      </c>
      <c r="C177" t="s">
        <v>9</v>
      </c>
      <c r="D177" t="s">
        <v>54</v>
      </c>
      <c r="E177" s="17">
        <v>56</v>
      </c>
      <c r="F177" s="1">
        <v>45597</v>
      </c>
    </row>
    <row r="178" spans="1:6" x14ac:dyDescent="0.3">
      <c r="A178" t="s">
        <v>27</v>
      </c>
      <c r="B178" t="s">
        <v>38</v>
      </c>
      <c r="C178" t="s">
        <v>9</v>
      </c>
      <c r="D178" t="s">
        <v>54</v>
      </c>
      <c r="E178" s="17">
        <v>617</v>
      </c>
      <c r="F178" s="1">
        <v>45597</v>
      </c>
    </row>
    <row r="179" spans="1:6" x14ac:dyDescent="0.3">
      <c r="A179" t="s">
        <v>26</v>
      </c>
      <c r="B179" t="s">
        <v>38</v>
      </c>
      <c r="C179" t="s">
        <v>9</v>
      </c>
      <c r="D179" t="s">
        <v>54</v>
      </c>
      <c r="E179" s="17">
        <v>425</v>
      </c>
      <c r="F179" s="1">
        <v>45597</v>
      </c>
    </row>
    <row r="180" spans="1:6" x14ac:dyDescent="0.3">
      <c r="A180" t="s">
        <v>25</v>
      </c>
      <c r="B180" t="s">
        <v>38</v>
      </c>
      <c r="C180" t="s">
        <v>9</v>
      </c>
      <c r="D180" t="s">
        <v>54</v>
      </c>
      <c r="E180" s="17">
        <v>192</v>
      </c>
      <c r="F180" s="1">
        <v>45597</v>
      </c>
    </row>
    <row r="181" spans="1:6" x14ac:dyDescent="0.3">
      <c r="A181" t="s">
        <v>30</v>
      </c>
      <c r="B181" t="s">
        <v>38</v>
      </c>
      <c r="C181" t="s">
        <v>9</v>
      </c>
      <c r="D181" t="s">
        <v>54</v>
      </c>
      <c r="E181" s="17">
        <v>374</v>
      </c>
      <c r="F181" s="1">
        <v>45597</v>
      </c>
    </row>
    <row r="182" spans="1:6" x14ac:dyDescent="0.3">
      <c r="A182" t="s">
        <v>10</v>
      </c>
      <c r="B182" t="s">
        <v>38</v>
      </c>
      <c r="C182" t="s">
        <v>4</v>
      </c>
      <c r="D182" t="s">
        <v>54</v>
      </c>
      <c r="E182" s="17">
        <v>238.48000000000002</v>
      </c>
      <c r="F182" s="1">
        <v>45597</v>
      </c>
    </row>
    <row r="183" spans="1:6" x14ac:dyDescent="0.3">
      <c r="A183" t="s">
        <v>7</v>
      </c>
      <c r="B183" t="s">
        <v>38</v>
      </c>
      <c r="C183" t="s">
        <v>4</v>
      </c>
      <c r="D183" t="s">
        <v>54</v>
      </c>
      <c r="E183" s="17">
        <v>104.94000000000001</v>
      </c>
      <c r="F183" s="1">
        <v>45597</v>
      </c>
    </row>
    <row r="184" spans="1:6" x14ac:dyDescent="0.3">
      <c r="A184" t="s">
        <v>5</v>
      </c>
      <c r="B184" t="s">
        <v>38</v>
      </c>
      <c r="C184" t="s">
        <v>4</v>
      </c>
      <c r="D184" t="s">
        <v>54</v>
      </c>
      <c r="E184" s="17">
        <v>61.6</v>
      </c>
      <c r="F184" s="1">
        <v>45597</v>
      </c>
    </row>
    <row r="185" spans="1:6" x14ac:dyDescent="0.3">
      <c r="A185" t="s">
        <v>3</v>
      </c>
      <c r="B185" t="s">
        <v>38</v>
      </c>
      <c r="C185" t="s">
        <v>4</v>
      </c>
      <c r="D185" t="s">
        <v>54</v>
      </c>
      <c r="E185" s="17">
        <v>0</v>
      </c>
      <c r="F185" s="1">
        <v>45597</v>
      </c>
    </row>
    <row r="186" spans="1:6" x14ac:dyDescent="0.3">
      <c r="A186" t="s">
        <v>8</v>
      </c>
      <c r="B186" t="s">
        <v>38</v>
      </c>
      <c r="C186" t="s">
        <v>4</v>
      </c>
      <c r="D186" t="s">
        <v>54</v>
      </c>
      <c r="E186" s="17">
        <v>129.25</v>
      </c>
      <c r="F186" s="1">
        <v>45597</v>
      </c>
    </row>
    <row r="187" spans="1:6" x14ac:dyDescent="0.3">
      <c r="A187" t="s">
        <v>13</v>
      </c>
      <c r="B187" t="s">
        <v>38</v>
      </c>
      <c r="C187" t="s">
        <v>4</v>
      </c>
      <c r="D187" t="s">
        <v>54</v>
      </c>
      <c r="E187" s="17">
        <v>0.88</v>
      </c>
      <c r="F187" s="1">
        <v>45597</v>
      </c>
    </row>
    <row r="188" spans="1:6" x14ac:dyDescent="0.3">
      <c r="A188" t="s">
        <v>14</v>
      </c>
      <c r="B188" t="s">
        <v>38</v>
      </c>
      <c r="C188" t="s">
        <v>4</v>
      </c>
      <c r="D188" t="s">
        <v>54</v>
      </c>
      <c r="E188" s="17">
        <v>3.85</v>
      </c>
      <c r="F188" s="1">
        <v>45597</v>
      </c>
    </row>
    <row r="189" spans="1:6" x14ac:dyDescent="0.3">
      <c r="A189" t="s">
        <v>15</v>
      </c>
      <c r="B189" t="s">
        <v>38</v>
      </c>
      <c r="C189" t="s">
        <v>4</v>
      </c>
      <c r="D189" t="s">
        <v>54</v>
      </c>
      <c r="E189" s="17">
        <v>14.85</v>
      </c>
      <c r="F189" s="1">
        <v>45597</v>
      </c>
    </row>
    <row r="190" spans="1:6" x14ac:dyDescent="0.3">
      <c r="A190" t="s">
        <v>12</v>
      </c>
      <c r="B190" t="s">
        <v>38</v>
      </c>
      <c r="C190" t="s">
        <v>4</v>
      </c>
      <c r="D190" t="s">
        <v>54</v>
      </c>
      <c r="E190" s="17">
        <v>239.35999999999999</v>
      </c>
      <c r="F190" s="1">
        <v>45597</v>
      </c>
    </row>
    <row r="191" spans="1:6" x14ac:dyDescent="0.3">
      <c r="A191" t="s">
        <v>16</v>
      </c>
      <c r="B191" t="s">
        <v>38</v>
      </c>
      <c r="C191" t="s">
        <v>4</v>
      </c>
      <c r="D191" t="s">
        <v>54</v>
      </c>
      <c r="E191" s="17">
        <v>72.38</v>
      </c>
      <c r="F191" s="1">
        <v>45597</v>
      </c>
    </row>
    <row r="192" spans="1:6" x14ac:dyDescent="0.3">
      <c r="A192" t="s">
        <v>17</v>
      </c>
      <c r="B192" t="s">
        <v>38</v>
      </c>
      <c r="C192" t="s">
        <v>4</v>
      </c>
      <c r="D192" t="s">
        <v>54</v>
      </c>
      <c r="E192" s="17">
        <v>0</v>
      </c>
      <c r="F192" s="1">
        <v>45597</v>
      </c>
    </row>
    <row r="193" spans="1:6" x14ac:dyDescent="0.3">
      <c r="A193" t="s">
        <v>21</v>
      </c>
      <c r="B193" t="s">
        <v>38</v>
      </c>
      <c r="C193" t="s">
        <v>4</v>
      </c>
      <c r="D193" t="s">
        <v>54</v>
      </c>
      <c r="E193" s="17">
        <v>25.85</v>
      </c>
      <c r="F193" s="1">
        <v>45597</v>
      </c>
    </row>
    <row r="194" spans="1:6" x14ac:dyDescent="0.3">
      <c r="A194" t="s">
        <v>19</v>
      </c>
      <c r="B194" t="s">
        <v>38</v>
      </c>
      <c r="C194" t="s">
        <v>4</v>
      </c>
      <c r="D194" t="s">
        <v>54</v>
      </c>
      <c r="E194" s="17">
        <v>61.71</v>
      </c>
      <c r="F194" s="1">
        <v>45597</v>
      </c>
    </row>
    <row r="195" spans="1:6" x14ac:dyDescent="0.3">
      <c r="A195" t="s">
        <v>20</v>
      </c>
      <c r="B195" t="s">
        <v>38</v>
      </c>
      <c r="C195" t="s">
        <v>4</v>
      </c>
      <c r="D195" t="s">
        <v>54</v>
      </c>
      <c r="E195" s="17">
        <v>21.01</v>
      </c>
      <c r="F195" s="1">
        <v>45597</v>
      </c>
    </row>
    <row r="196" spans="1:6" x14ac:dyDescent="0.3">
      <c r="A196" t="s">
        <v>18</v>
      </c>
      <c r="B196" t="s">
        <v>38</v>
      </c>
      <c r="C196" t="s">
        <v>4</v>
      </c>
      <c r="D196" t="s">
        <v>54</v>
      </c>
      <c r="E196" s="17">
        <v>407.98999999999995</v>
      </c>
      <c r="F196" s="1">
        <v>45597</v>
      </c>
    </row>
    <row r="197" spans="1:6" x14ac:dyDescent="0.3">
      <c r="A197" t="s">
        <v>23</v>
      </c>
      <c r="B197" t="s">
        <v>38</v>
      </c>
      <c r="C197" t="s">
        <v>4</v>
      </c>
      <c r="D197" t="s">
        <v>54</v>
      </c>
      <c r="E197" s="17">
        <v>50.05</v>
      </c>
      <c r="F197" s="1">
        <v>45597</v>
      </c>
    </row>
    <row r="198" spans="1:6" x14ac:dyDescent="0.3">
      <c r="A198" t="s">
        <v>22</v>
      </c>
      <c r="B198" t="s">
        <v>38</v>
      </c>
      <c r="C198" t="s">
        <v>4</v>
      </c>
      <c r="D198" t="s">
        <v>54</v>
      </c>
      <c r="E198" s="17">
        <v>143.10999999999999</v>
      </c>
      <c r="F198" s="1">
        <v>45597</v>
      </c>
    </row>
    <row r="199" spans="1:6" x14ac:dyDescent="0.3">
      <c r="A199" t="s">
        <v>28</v>
      </c>
      <c r="B199" t="s">
        <v>38</v>
      </c>
      <c r="C199" t="s">
        <v>4</v>
      </c>
      <c r="D199" t="s">
        <v>54</v>
      </c>
      <c r="E199" s="17">
        <v>172.04000000000002</v>
      </c>
      <c r="F199" s="1">
        <v>45597</v>
      </c>
    </row>
    <row r="200" spans="1:6" x14ac:dyDescent="0.3">
      <c r="A200" t="s">
        <v>29</v>
      </c>
      <c r="B200" t="s">
        <v>38</v>
      </c>
      <c r="C200" t="s">
        <v>4</v>
      </c>
      <c r="D200" t="s">
        <v>54</v>
      </c>
      <c r="E200" s="17">
        <v>125.72999999999999</v>
      </c>
      <c r="F200" s="1">
        <v>45597</v>
      </c>
    </row>
    <row r="201" spans="1:6" x14ac:dyDescent="0.3">
      <c r="A201" t="s">
        <v>24</v>
      </c>
      <c r="B201" t="s">
        <v>38</v>
      </c>
      <c r="C201" t="s">
        <v>4</v>
      </c>
      <c r="D201" t="s">
        <v>54</v>
      </c>
      <c r="E201" s="17">
        <v>0</v>
      </c>
      <c r="F201" s="1">
        <v>45597</v>
      </c>
    </row>
    <row r="202" spans="1:6" x14ac:dyDescent="0.3">
      <c r="A202" t="s">
        <v>27</v>
      </c>
      <c r="B202" t="s">
        <v>38</v>
      </c>
      <c r="C202" t="s">
        <v>4</v>
      </c>
      <c r="D202" t="s">
        <v>54</v>
      </c>
      <c r="E202" s="17">
        <v>234.74</v>
      </c>
      <c r="F202" s="1">
        <v>45597</v>
      </c>
    </row>
    <row r="203" spans="1:6" x14ac:dyDescent="0.3">
      <c r="A203" t="s">
        <v>26</v>
      </c>
      <c r="B203" t="s">
        <v>38</v>
      </c>
      <c r="C203" t="s">
        <v>4</v>
      </c>
      <c r="D203" t="s">
        <v>54</v>
      </c>
      <c r="E203" s="17">
        <v>340.78000000000003</v>
      </c>
      <c r="F203" s="1">
        <v>45597</v>
      </c>
    </row>
    <row r="204" spans="1:6" x14ac:dyDescent="0.3">
      <c r="A204" t="s">
        <v>25</v>
      </c>
      <c r="B204" t="s">
        <v>38</v>
      </c>
      <c r="C204" t="s">
        <v>4</v>
      </c>
      <c r="D204" t="s">
        <v>54</v>
      </c>
      <c r="E204" s="17">
        <v>7.7</v>
      </c>
      <c r="F204" s="1">
        <v>45597</v>
      </c>
    </row>
    <row r="205" spans="1:6" x14ac:dyDescent="0.3">
      <c r="A205" t="s">
        <v>30</v>
      </c>
      <c r="B205" t="s">
        <v>38</v>
      </c>
      <c r="C205" t="s">
        <v>4</v>
      </c>
      <c r="D205" t="s">
        <v>54</v>
      </c>
      <c r="E205" s="17">
        <v>248.16</v>
      </c>
      <c r="F205" s="1">
        <v>45597</v>
      </c>
    </row>
    <row r="206" spans="1:6" x14ac:dyDescent="0.3">
      <c r="A206" t="s">
        <v>10</v>
      </c>
      <c r="B206" t="s">
        <v>38</v>
      </c>
      <c r="C206" t="s">
        <v>6</v>
      </c>
      <c r="D206" t="s">
        <v>54</v>
      </c>
      <c r="E206" s="17">
        <v>294.52</v>
      </c>
      <c r="F206" s="1">
        <v>45597</v>
      </c>
    </row>
    <row r="207" spans="1:6" x14ac:dyDescent="0.3">
      <c r="A207" t="s">
        <v>7</v>
      </c>
      <c r="B207" t="s">
        <v>38</v>
      </c>
      <c r="C207" t="s">
        <v>6</v>
      </c>
      <c r="D207" t="s">
        <v>54</v>
      </c>
      <c r="E207" s="17">
        <v>150.06</v>
      </c>
      <c r="F207" s="1">
        <v>45597</v>
      </c>
    </row>
    <row r="208" spans="1:6" x14ac:dyDescent="0.3">
      <c r="A208" t="s">
        <v>5</v>
      </c>
      <c r="B208" t="s">
        <v>38</v>
      </c>
      <c r="C208" t="s">
        <v>6</v>
      </c>
      <c r="D208" t="s">
        <v>54</v>
      </c>
      <c r="E208" s="17">
        <v>131.4</v>
      </c>
      <c r="F208" s="1">
        <v>45597</v>
      </c>
    </row>
    <row r="209" spans="1:6" x14ac:dyDescent="0.3">
      <c r="A209" t="s">
        <v>3</v>
      </c>
      <c r="B209" t="s">
        <v>38</v>
      </c>
      <c r="C209" t="s">
        <v>6</v>
      </c>
      <c r="D209" t="s">
        <v>54</v>
      </c>
      <c r="E209" s="17">
        <v>26</v>
      </c>
      <c r="F209" s="1">
        <v>45597</v>
      </c>
    </row>
    <row r="210" spans="1:6" x14ac:dyDescent="0.3">
      <c r="A210" t="s">
        <v>8</v>
      </c>
      <c r="B210" t="s">
        <v>38</v>
      </c>
      <c r="C210" t="s">
        <v>6</v>
      </c>
      <c r="D210" t="s">
        <v>54</v>
      </c>
      <c r="E210" s="17">
        <v>254.75</v>
      </c>
      <c r="F210" s="1">
        <v>45597</v>
      </c>
    </row>
    <row r="211" spans="1:6" x14ac:dyDescent="0.3">
      <c r="A211" t="s">
        <v>13</v>
      </c>
      <c r="B211" t="s">
        <v>38</v>
      </c>
      <c r="C211" t="s">
        <v>6</v>
      </c>
      <c r="D211" t="s">
        <v>54</v>
      </c>
      <c r="E211" s="17">
        <v>222.12</v>
      </c>
      <c r="F211" s="1">
        <v>45597</v>
      </c>
    </row>
    <row r="212" spans="1:6" x14ac:dyDescent="0.3">
      <c r="A212" t="s">
        <v>14</v>
      </c>
      <c r="B212" t="s">
        <v>38</v>
      </c>
      <c r="C212" t="s">
        <v>6</v>
      </c>
      <c r="D212" t="s">
        <v>54</v>
      </c>
      <c r="E212" s="17">
        <v>12.15</v>
      </c>
      <c r="F212" s="1">
        <v>45597</v>
      </c>
    </row>
    <row r="213" spans="1:6" x14ac:dyDescent="0.3">
      <c r="A213" t="s">
        <v>15</v>
      </c>
      <c r="B213" t="s">
        <v>38</v>
      </c>
      <c r="C213" t="s">
        <v>6</v>
      </c>
      <c r="D213" t="s">
        <v>54</v>
      </c>
      <c r="E213" s="17">
        <v>273.14999999999998</v>
      </c>
      <c r="F213" s="1">
        <v>45597</v>
      </c>
    </row>
    <row r="214" spans="1:6" x14ac:dyDescent="0.3">
      <c r="A214" t="s">
        <v>12</v>
      </c>
      <c r="B214" t="s">
        <v>38</v>
      </c>
      <c r="C214" t="s">
        <v>6</v>
      </c>
      <c r="D214" t="s">
        <v>54</v>
      </c>
      <c r="E214" s="17">
        <v>63.640000000000015</v>
      </c>
      <c r="F214" s="1">
        <v>45597</v>
      </c>
    </row>
    <row r="215" spans="1:6" x14ac:dyDescent="0.3">
      <c r="A215" t="s">
        <v>16</v>
      </c>
      <c r="B215" t="s">
        <v>38</v>
      </c>
      <c r="C215" t="s">
        <v>6</v>
      </c>
      <c r="D215" t="s">
        <v>54</v>
      </c>
      <c r="E215" s="17">
        <v>172.62</v>
      </c>
      <c r="F215" s="1">
        <v>45597</v>
      </c>
    </row>
    <row r="216" spans="1:6" x14ac:dyDescent="0.3">
      <c r="A216" t="s">
        <v>17</v>
      </c>
      <c r="B216" t="s">
        <v>38</v>
      </c>
      <c r="C216" t="s">
        <v>6</v>
      </c>
      <c r="D216" t="s">
        <v>54</v>
      </c>
      <c r="E216" s="17">
        <v>48</v>
      </c>
      <c r="F216" s="1">
        <v>45597</v>
      </c>
    </row>
    <row r="217" spans="1:6" x14ac:dyDescent="0.3">
      <c r="A217" t="s">
        <v>21</v>
      </c>
      <c r="B217" t="s">
        <v>38</v>
      </c>
      <c r="C217" t="s">
        <v>6</v>
      </c>
      <c r="D217" t="s">
        <v>54</v>
      </c>
      <c r="E217" s="17">
        <v>245.15</v>
      </c>
      <c r="F217" s="1">
        <v>45597</v>
      </c>
    </row>
    <row r="218" spans="1:6" x14ac:dyDescent="0.3">
      <c r="A218" t="s">
        <v>19</v>
      </c>
      <c r="B218" t="s">
        <v>38</v>
      </c>
      <c r="C218" t="s">
        <v>6</v>
      </c>
      <c r="D218" t="s">
        <v>54</v>
      </c>
      <c r="E218" s="17">
        <v>126.28999999999999</v>
      </c>
      <c r="F218" s="1">
        <v>45597</v>
      </c>
    </row>
    <row r="219" spans="1:6" x14ac:dyDescent="0.3">
      <c r="A219" t="s">
        <v>20</v>
      </c>
      <c r="B219" t="s">
        <v>38</v>
      </c>
      <c r="C219" t="s">
        <v>6</v>
      </c>
      <c r="D219" t="s">
        <v>54</v>
      </c>
      <c r="E219" s="17">
        <v>241.99</v>
      </c>
      <c r="F219" s="1">
        <v>45597</v>
      </c>
    </row>
    <row r="220" spans="1:6" x14ac:dyDescent="0.3">
      <c r="A220" t="s">
        <v>18</v>
      </c>
      <c r="B220" t="s">
        <v>38</v>
      </c>
      <c r="C220" t="s">
        <v>6</v>
      </c>
      <c r="D220" t="s">
        <v>54</v>
      </c>
      <c r="E220" s="17">
        <v>207.01000000000005</v>
      </c>
      <c r="F220" s="1">
        <v>45597</v>
      </c>
    </row>
    <row r="221" spans="1:6" x14ac:dyDescent="0.3">
      <c r="A221" t="s">
        <v>23</v>
      </c>
      <c r="B221" t="s">
        <v>38</v>
      </c>
      <c r="C221" t="s">
        <v>6</v>
      </c>
      <c r="D221" t="s">
        <v>54</v>
      </c>
      <c r="E221" s="17">
        <v>216.95</v>
      </c>
      <c r="F221" s="1">
        <v>45597</v>
      </c>
    </row>
    <row r="222" spans="1:6" x14ac:dyDescent="0.3">
      <c r="A222" t="s">
        <v>22</v>
      </c>
      <c r="B222" t="s">
        <v>38</v>
      </c>
      <c r="C222" t="s">
        <v>6</v>
      </c>
      <c r="D222" t="s">
        <v>54</v>
      </c>
      <c r="E222" s="17">
        <v>95.890000000000015</v>
      </c>
      <c r="F222" s="1">
        <v>45597</v>
      </c>
    </row>
    <row r="223" spans="1:6" x14ac:dyDescent="0.3">
      <c r="A223" t="s">
        <v>28</v>
      </c>
      <c r="B223" t="s">
        <v>38</v>
      </c>
      <c r="C223" t="s">
        <v>6</v>
      </c>
      <c r="D223" t="s">
        <v>54</v>
      </c>
      <c r="E223" s="17">
        <v>299.95999999999998</v>
      </c>
      <c r="F223" s="1">
        <v>45597</v>
      </c>
    </row>
    <row r="224" spans="1:6" x14ac:dyDescent="0.3">
      <c r="A224" t="s">
        <v>29</v>
      </c>
      <c r="B224" t="s">
        <v>38</v>
      </c>
      <c r="C224" t="s">
        <v>6</v>
      </c>
      <c r="D224" t="s">
        <v>54</v>
      </c>
      <c r="E224" s="17">
        <v>65.27000000000001</v>
      </c>
      <c r="F224" s="1">
        <v>45597</v>
      </c>
    </row>
    <row r="225" spans="1:6" x14ac:dyDescent="0.3">
      <c r="A225" t="s">
        <v>24</v>
      </c>
      <c r="B225" t="s">
        <v>38</v>
      </c>
      <c r="C225" t="s">
        <v>6</v>
      </c>
      <c r="D225" t="s">
        <v>54</v>
      </c>
      <c r="E225" s="17">
        <v>56</v>
      </c>
      <c r="F225" s="1">
        <v>45597</v>
      </c>
    </row>
    <row r="226" spans="1:6" x14ac:dyDescent="0.3">
      <c r="A226" t="s">
        <v>27</v>
      </c>
      <c r="B226" t="s">
        <v>38</v>
      </c>
      <c r="C226" t="s">
        <v>6</v>
      </c>
      <c r="D226" t="s">
        <v>54</v>
      </c>
      <c r="E226" s="17">
        <v>382.26</v>
      </c>
      <c r="F226" s="1">
        <v>45597</v>
      </c>
    </row>
    <row r="227" spans="1:6" x14ac:dyDescent="0.3">
      <c r="A227" t="s">
        <v>26</v>
      </c>
      <c r="B227" t="s">
        <v>38</v>
      </c>
      <c r="C227" t="s">
        <v>6</v>
      </c>
      <c r="D227" t="s">
        <v>54</v>
      </c>
      <c r="E227" s="17">
        <v>84.21999999999997</v>
      </c>
      <c r="F227" s="1">
        <v>45597</v>
      </c>
    </row>
    <row r="228" spans="1:6" x14ac:dyDescent="0.3">
      <c r="A228" t="s">
        <v>25</v>
      </c>
      <c r="B228" t="s">
        <v>38</v>
      </c>
      <c r="C228" t="s">
        <v>6</v>
      </c>
      <c r="D228" t="s">
        <v>54</v>
      </c>
      <c r="E228" s="17">
        <v>184.3</v>
      </c>
      <c r="F228" s="1">
        <v>45597</v>
      </c>
    </row>
    <row r="229" spans="1:6" x14ac:dyDescent="0.3">
      <c r="A229" t="s">
        <v>30</v>
      </c>
      <c r="B229" t="s">
        <v>38</v>
      </c>
      <c r="C229" t="s">
        <v>6</v>
      </c>
      <c r="D229" t="s">
        <v>54</v>
      </c>
      <c r="E229" s="17">
        <v>125.84</v>
      </c>
      <c r="F229" s="1">
        <v>45597</v>
      </c>
    </row>
    <row r="230" spans="1:6" x14ac:dyDescent="0.3">
      <c r="A230" t="s">
        <v>15</v>
      </c>
      <c r="B230" t="s">
        <v>38</v>
      </c>
      <c r="C230" t="s">
        <v>6</v>
      </c>
      <c r="D230" t="s">
        <v>55</v>
      </c>
      <c r="E230" s="17">
        <v>289</v>
      </c>
      <c r="F230" s="1">
        <v>45627</v>
      </c>
    </row>
    <row r="231" spans="1:6" x14ac:dyDescent="0.3">
      <c r="A231" t="s">
        <v>5</v>
      </c>
      <c r="B231" t="s">
        <v>38</v>
      </c>
      <c r="C231" t="s">
        <v>4</v>
      </c>
      <c r="D231" t="s">
        <v>55</v>
      </c>
      <c r="E231" s="17">
        <v>66.599999999999994</v>
      </c>
      <c r="F231" s="1">
        <v>45627</v>
      </c>
    </row>
    <row r="232" spans="1:6" x14ac:dyDescent="0.3">
      <c r="A232" t="s">
        <v>8</v>
      </c>
      <c r="B232" t="s">
        <v>38</v>
      </c>
      <c r="C232" t="s">
        <v>9</v>
      </c>
      <c r="D232" t="s">
        <v>55</v>
      </c>
      <c r="E232" s="17">
        <v>411.1</v>
      </c>
      <c r="F232" s="1">
        <v>45627</v>
      </c>
    </row>
    <row r="233" spans="1:6" x14ac:dyDescent="0.3">
      <c r="A233" t="s">
        <v>15</v>
      </c>
      <c r="B233" t="s">
        <v>38</v>
      </c>
      <c r="C233" t="s">
        <v>9</v>
      </c>
      <c r="D233" t="s">
        <v>55</v>
      </c>
      <c r="E233" s="17">
        <v>304.89999999999998</v>
      </c>
      <c r="F233" s="1">
        <v>45627</v>
      </c>
    </row>
    <row r="234" spans="1:6" x14ac:dyDescent="0.3">
      <c r="A234" t="s">
        <v>10</v>
      </c>
      <c r="B234" t="s">
        <v>38</v>
      </c>
      <c r="C234" t="s">
        <v>9</v>
      </c>
      <c r="D234" t="s">
        <v>55</v>
      </c>
      <c r="E234" s="17">
        <v>576.5</v>
      </c>
      <c r="F234" s="1">
        <v>45627</v>
      </c>
    </row>
    <row r="235" spans="1:6" x14ac:dyDescent="0.3">
      <c r="A235" t="s">
        <v>11</v>
      </c>
      <c r="B235" t="s">
        <v>38</v>
      </c>
      <c r="C235" t="s">
        <v>4</v>
      </c>
      <c r="D235" t="s">
        <v>55</v>
      </c>
      <c r="E235" s="17">
        <v>2952.1000000000004</v>
      </c>
      <c r="F235" s="1">
        <v>45627</v>
      </c>
    </row>
    <row r="236" spans="1:6" x14ac:dyDescent="0.3">
      <c r="A236" t="s">
        <v>13</v>
      </c>
      <c r="B236" t="s">
        <v>38</v>
      </c>
      <c r="C236" t="s">
        <v>9</v>
      </c>
      <c r="D236" t="s">
        <v>55</v>
      </c>
      <c r="E236" s="17">
        <v>265.7</v>
      </c>
      <c r="F236" s="1">
        <v>45627</v>
      </c>
    </row>
    <row r="237" spans="1:6" x14ac:dyDescent="0.3">
      <c r="A237" t="s">
        <v>13</v>
      </c>
      <c r="B237" t="s">
        <v>38</v>
      </c>
      <c r="C237" t="s">
        <v>4</v>
      </c>
      <c r="D237" t="s">
        <v>55</v>
      </c>
      <c r="E237" s="17">
        <v>1</v>
      </c>
      <c r="F237" s="1">
        <v>45627</v>
      </c>
    </row>
    <row r="238" spans="1:6" x14ac:dyDescent="0.3">
      <c r="A238" t="s">
        <v>17</v>
      </c>
      <c r="B238" t="s">
        <v>38</v>
      </c>
      <c r="C238" t="s">
        <v>4</v>
      </c>
      <c r="D238" t="s">
        <v>55</v>
      </c>
      <c r="E238" s="17">
        <v>0</v>
      </c>
      <c r="F238" s="1">
        <v>45627</v>
      </c>
    </row>
    <row r="239" spans="1:6" x14ac:dyDescent="0.3">
      <c r="A239" t="s">
        <v>16</v>
      </c>
      <c r="B239" t="s">
        <v>38</v>
      </c>
      <c r="C239" t="s">
        <v>6</v>
      </c>
      <c r="D239" t="s">
        <v>55</v>
      </c>
      <c r="E239" s="17">
        <v>183.1</v>
      </c>
      <c r="F239" s="1">
        <v>45627</v>
      </c>
    </row>
    <row r="240" spans="1:6" x14ac:dyDescent="0.3">
      <c r="A240" t="s">
        <v>7</v>
      </c>
      <c r="B240" t="s">
        <v>38</v>
      </c>
      <c r="C240" t="s">
        <v>9</v>
      </c>
      <c r="D240" t="s">
        <v>55</v>
      </c>
      <c r="E240" s="17">
        <v>279.10000000000002</v>
      </c>
      <c r="F240" s="1">
        <v>45627</v>
      </c>
    </row>
    <row r="241" spans="1:7" x14ac:dyDescent="0.3">
      <c r="A241" t="s">
        <v>12</v>
      </c>
      <c r="B241" t="s">
        <v>38</v>
      </c>
      <c r="C241" t="s">
        <v>4</v>
      </c>
      <c r="D241" t="s">
        <v>55</v>
      </c>
      <c r="E241" s="17">
        <v>267.60000000000002</v>
      </c>
      <c r="F241" s="1">
        <v>45627</v>
      </c>
    </row>
    <row r="242" spans="1:7" x14ac:dyDescent="0.3">
      <c r="A242" t="s">
        <v>11</v>
      </c>
      <c r="B242" t="s">
        <v>38</v>
      </c>
      <c r="C242" t="s">
        <v>9</v>
      </c>
      <c r="D242" t="s">
        <v>55</v>
      </c>
      <c r="E242" s="17">
        <v>7212.7000000000007</v>
      </c>
      <c r="F242" s="1">
        <v>45627</v>
      </c>
    </row>
    <row r="243" spans="1:7" x14ac:dyDescent="0.3">
      <c r="A243" t="s">
        <v>14</v>
      </c>
      <c r="B243" t="s">
        <v>38</v>
      </c>
      <c r="C243" t="s">
        <v>6</v>
      </c>
      <c r="D243" t="s">
        <v>55</v>
      </c>
      <c r="E243" s="17">
        <v>2952.1000000000004</v>
      </c>
      <c r="F243" s="1">
        <v>45627</v>
      </c>
      <c r="G243">
        <v>2952.1000000000004</v>
      </c>
    </row>
    <row r="244" spans="1:7" x14ac:dyDescent="0.3">
      <c r="A244" t="s">
        <v>5</v>
      </c>
      <c r="B244" t="s">
        <v>38</v>
      </c>
      <c r="C244" t="s">
        <v>6</v>
      </c>
      <c r="D244" t="s">
        <v>55</v>
      </c>
      <c r="E244" s="17">
        <v>4260.6000000000004</v>
      </c>
      <c r="F244" s="1">
        <v>45627</v>
      </c>
      <c r="G244">
        <v>4260.6000000000004</v>
      </c>
    </row>
    <row r="245" spans="1:7" x14ac:dyDescent="0.3">
      <c r="A245" t="s">
        <v>10</v>
      </c>
      <c r="B245" t="s">
        <v>38</v>
      </c>
      <c r="C245" t="s">
        <v>6</v>
      </c>
      <c r="D245" t="s">
        <v>55</v>
      </c>
      <c r="E245" s="17">
        <v>316.3</v>
      </c>
      <c r="F245" s="1">
        <v>45627</v>
      </c>
    </row>
    <row r="246" spans="1:7" x14ac:dyDescent="0.3">
      <c r="A246" t="s">
        <v>3</v>
      </c>
      <c r="B246" t="s">
        <v>38</v>
      </c>
      <c r="C246" t="s">
        <v>6</v>
      </c>
      <c r="D246" t="s">
        <v>55</v>
      </c>
      <c r="E246" s="17">
        <v>0</v>
      </c>
      <c r="F246" s="1">
        <v>45627</v>
      </c>
    </row>
    <row r="247" spans="1:7" x14ac:dyDescent="0.3">
      <c r="A247" t="s">
        <v>18</v>
      </c>
      <c r="B247" t="s">
        <v>38</v>
      </c>
      <c r="C247" t="s">
        <v>9</v>
      </c>
      <c r="D247" t="s">
        <v>55</v>
      </c>
      <c r="E247" s="17">
        <v>667.9</v>
      </c>
      <c r="F247" s="1">
        <v>45627</v>
      </c>
    </row>
    <row r="248" spans="1:7" x14ac:dyDescent="0.3">
      <c r="A248" t="s">
        <v>25</v>
      </c>
      <c r="B248" t="s">
        <v>38</v>
      </c>
      <c r="C248" t="s">
        <v>6</v>
      </c>
      <c r="D248" t="s">
        <v>55</v>
      </c>
      <c r="E248" s="17">
        <v>198.7</v>
      </c>
      <c r="F248" s="1">
        <v>45627</v>
      </c>
    </row>
    <row r="249" spans="1:7" x14ac:dyDescent="0.3">
      <c r="A249" t="s">
        <v>24</v>
      </c>
      <c r="B249" t="s">
        <v>38</v>
      </c>
      <c r="C249" t="s">
        <v>4</v>
      </c>
      <c r="D249" t="s">
        <v>55</v>
      </c>
      <c r="E249" s="17">
        <v>0</v>
      </c>
      <c r="F249" s="1">
        <v>45627</v>
      </c>
    </row>
    <row r="250" spans="1:7" x14ac:dyDescent="0.3">
      <c r="A250" t="s">
        <v>28</v>
      </c>
      <c r="B250" t="s">
        <v>38</v>
      </c>
      <c r="C250" t="s">
        <v>4</v>
      </c>
      <c r="D250" t="s">
        <v>55</v>
      </c>
      <c r="E250" s="17">
        <v>188.2</v>
      </c>
      <c r="F250" s="1">
        <v>45627</v>
      </c>
    </row>
    <row r="251" spans="1:7" x14ac:dyDescent="0.3">
      <c r="A251" t="s">
        <v>18</v>
      </c>
      <c r="B251" t="s">
        <v>38</v>
      </c>
      <c r="C251" t="s">
        <v>4</v>
      </c>
      <c r="D251" t="s">
        <v>55</v>
      </c>
      <c r="E251" s="17">
        <v>445.2</v>
      </c>
      <c r="F251" s="1">
        <v>45627</v>
      </c>
    </row>
    <row r="252" spans="1:7" x14ac:dyDescent="0.3">
      <c r="A252" t="s">
        <v>28</v>
      </c>
      <c r="B252" t="s">
        <v>38</v>
      </c>
      <c r="C252" t="s">
        <v>9</v>
      </c>
      <c r="D252" t="s">
        <v>55</v>
      </c>
      <c r="E252" s="17">
        <v>513.29999999999995</v>
      </c>
      <c r="F252" s="1">
        <v>45627</v>
      </c>
    </row>
    <row r="253" spans="1:7" x14ac:dyDescent="0.3">
      <c r="A253" t="s">
        <v>27</v>
      </c>
      <c r="B253" t="s">
        <v>38</v>
      </c>
      <c r="C253" t="s">
        <v>6</v>
      </c>
      <c r="D253" t="s">
        <v>55</v>
      </c>
      <c r="E253" s="17">
        <v>399</v>
      </c>
      <c r="F253" s="1">
        <v>45627</v>
      </c>
    </row>
    <row r="254" spans="1:7" x14ac:dyDescent="0.3">
      <c r="A254" t="s">
        <v>25</v>
      </c>
      <c r="B254" t="s">
        <v>38</v>
      </c>
      <c r="C254" t="s">
        <v>4</v>
      </c>
      <c r="D254" t="s">
        <v>55</v>
      </c>
      <c r="E254" s="17">
        <v>8.5</v>
      </c>
      <c r="F254" s="1">
        <v>45627</v>
      </c>
    </row>
    <row r="255" spans="1:7" x14ac:dyDescent="0.3">
      <c r="A255" t="s">
        <v>27</v>
      </c>
      <c r="B255" t="s">
        <v>38</v>
      </c>
      <c r="C255" t="s">
        <v>4</v>
      </c>
      <c r="D255" t="s">
        <v>55</v>
      </c>
      <c r="E255" s="17">
        <v>256.60000000000002</v>
      </c>
      <c r="F255" s="1">
        <v>45627</v>
      </c>
    </row>
    <row r="256" spans="1:7" x14ac:dyDescent="0.3">
      <c r="A256" t="s">
        <v>21</v>
      </c>
      <c r="B256" t="s">
        <v>38</v>
      </c>
      <c r="C256" t="s">
        <v>6</v>
      </c>
      <c r="D256" t="s">
        <v>55</v>
      </c>
      <c r="E256" s="17">
        <v>255.2</v>
      </c>
      <c r="F256" s="1">
        <v>45627</v>
      </c>
    </row>
    <row r="257" spans="1:6" x14ac:dyDescent="0.3">
      <c r="A257" t="s">
        <v>26</v>
      </c>
      <c r="B257" t="s">
        <v>38</v>
      </c>
      <c r="C257" t="s">
        <v>6</v>
      </c>
      <c r="D257" t="s">
        <v>55</v>
      </c>
      <c r="E257" s="17">
        <v>93.9</v>
      </c>
      <c r="F257" s="1">
        <v>45627</v>
      </c>
    </row>
    <row r="258" spans="1:6" x14ac:dyDescent="0.3">
      <c r="A258" t="s">
        <v>28</v>
      </c>
      <c r="B258" t="s">
        <v>38</v>
      </c>
      <c r="C258" t="s">
        <v>6</v>
      </c>
      <c r="D258" t="s">
        <v>55</v>
      </c>
      <c r="E258" s="17">
        <v>325.10000000000002</v>
      </c>
      <c r="F258" s="1">
        <v>45627</v>
      </c>
    </row>
    <row r="259" spans="1:6" x14ac:dyDescent="0.3">
      <c r="A259" t="s">
        <v>18</v>
      </c>
      <c r="B259" t="s">
        <v>38</v>
      </c>
      <c r="C259" t="s">
        <v>6</v>
      </c>
      <c r="D259" t="s">
        <v>55</v>
      </c>
      <c r="E259" s="17">
        <v>222.7</v>
      </c>
      <c r="F259" s="1">
        <v>45627</v>
      </c>
    </row>
    <row r="260" spans="1:6" x14ac:dyDescent="0.3">
      <c r="A260" t="s">
        <v>22</v>
      </c>
      <c r="B260" t="s">
        <v>38</v>
      </c>
      <c r="C260" t="s">
        <v>4</v>
      </c>
      <c r="D260" t="s">
        <v>55</v>
      </c>
      <c r="E260" s="17">
        <v>153.5</v>
      </c>
      <c r="F260" s="1">
        <v>45627</v>
      </c>
    </row>
    <row r="261" spans="1:6" x14ac:dyDescent="0.3">
      <c r="A261" t="s">
        <v>24</v>
      </c>
      <c r="B261" t="s">
        <v>38</v>
      </c>
      <c r="C261" t="s">
        <v>9</v>
      </c>
      <c r="D261" t="s">
        <v>55</v>
      </c>
      <c r="E261" s="17">
        <v>59.9</v>
      </c>
      <c r="F261" s="1">
        <v>45627</v>
      </c>
    </row>
    <row r="262" spans="1:6" x14ac:dyDescent="0.3">
      <c r="A262" t="s">
        <v>24</v>
      </c>
      <c r="B262" t="s">
        <v>38</v>
      </c>
      <c r="C262" t="s">
        <v>6</v>
      </c>
      <c r="D262" t="s">
        <v>55</v>
      </c>
      <c r="E262" s="17">
        <v>0</v>
      </c>
      <c r="F262" s="1">
        <v>45627</v>
      </c>
    </row>
    <row r="263" spans="1:6" x14ac:dyDescent="0.3">
      <c r="A263" t="s">
        <v>21</v>
      </c>
      <c r="B263" t="s">
        <v>38</v>
      </c>
      <c r="C263" t="s">
        <v>4</v>
      </c>
      <c r="D263" t="s">
        <v>55</v>
      </c>
      <c r="E263" s="17">
        <v>30</v>
      </c>
      <c r="F263" s="1">
        <v>45627</v>
      </c>
    </row>
    <row r="264" spans="1:6" x14ac:dyDescent="0.3">
      <c r="A264" t="s">
        <v>20</v>
      </c>
      <c r="B264" t="s">
        <v>38</v>
      </c>
      <c r="C264" t="s">
        <v>9</v>
      </c>
      <c r="D264" t="s">
        <v>55</v>
      </c>
      <c r="E264" s="17">
        <v>279.8</v>
      </c>
      <c r="F264" s="1">
        <v>45627</v>
      </c>
    </row>
    <row r="265" spans="1:6" x14ac:dyDescent="0.3">
      <c r="A265" t="s">
        <v>30</v>
      </c>
      <c r="B265" t="s">
        <v>38</v>
      </c>
      <c r="C265" t="s">
        <v>4</v>
      </c>
      <c r="D265" t="s">
        <v>55</v>
      </c>
      <c r="E265" s="17">
        <v>268.89999999999998</v>
      </c>
      <c r="F265" s="1">
        <v>45627</v>
      </c>
    </row>
    <row r="266" spans="1:6" x14ac:dyDescent="0.3">
      <c r="A266" t="s">
        <v>25</v>
      </c>
      <c r="B266" t="s">
        <v>38</v>
      </c>
      <c r="C266" t="s">
        <v>9</v>
      </c>
      <c r="D266" t="s">
        <v>55</v>
      </c>
      <c r="E266" s="17">
        <v>207.2</v>
      </c>
      <c r="F266" s="1">
        <v>45627</v>
      </c>
    </row>
    <row r="267" spans="1:6" x14ac:dyDescent="0.3">
      <c r="A267" t="s">
        <v>26</v>
      </c>
      <c r="B267" t="s">
        <v>38</v>
      </c>
      <c r="C267" t="s">
        <v>4</v>
      </c>
      <c r="D267" t="s">
        <v>55</v>
      </c>
      <c r="E267" s="17">
        <v>371.5</v>
      </c>
      <c r="F267" s="1">
        <v>45627</v>
      </c>
    </row>
    <row r="268" spans="1:6" x14ac:dyDescent="0.3">
      <c r="A268" t="s">
        <v>29</v>
      </c>
      <c r="B268" t="s">
        <v>38</v>
      </c>
      <c r="C268" t="s">
        <v>4</v>
      </c>
      <c r="D268" t="s">
        <v>55</v>
      </c>
      <c r="E268" s="17">
        <v>158.1</v>
      </c>
      <c r="F268" s="1">
        <v>45627</v>
      </c>
    </row>
    <row r="269" spans="1:6" x14ac:dyDescent="0.3">
      <c r="A269" t="s">
        <v>11</v>
      </c>
      <c r="B269" t="s">
        <v>38</v>
      </c>
      <c r="C269" t="s">
        <v>6</v>
      </c>
      <c r="D269" t="s">
        <v>56</v>
      </c>
      <c r="E269" s="17">
        <v>3676.7</v>
      </c>
      <c r="F269" s="1">
        <v>45992</v>
      </c>
    </row>
    <row r="270" spans="1:6" x14ac:dyDescent="0.3">
      <c r="A270" t="s">
        <v>15</v>
      </c>
      <c r="B270" t="s">
        <v>38</v>
      </c>
      <c r="C270" t="s">
        <v>4</v>
      </c>
      <c r="D270" t="s">
        <v>56</v>
      </c>
      <c r="E270" s="17">
        <v>17.2</v>
      </c>
      <c r="F270" s="1">
        <v>45992</v>
      </c>
    </row>
    <row r="271" spans="1:6" x14ac:dyDescent="0.3">
      <c r="A271" t="s">
        <v>15</v>
      </c>
      <c r="B271" t="s">
        <v>38</v>
      </c>
      <c r="C271" t="s">
        <v>6</v>
      </c>
      <c r="D271" t="s">
        <v>56</v>
      </c>
      <c r="E271" s="17">
        <v>213</v>
      </c>
      <c r="F271" s="1">
        <v>45992</v>
      </c>
    </row>
    <row r="272" spans="1:6" x14ac:dyDescent="0.3">
      <c r="A272" t="s">
        <v>17</v>
      </c>
      <c r="B272" t="s">
        <v>38</v>
      </c>
      <c r="C272" t="s">
        <v>6</v>
      </c>
      <c r="D272" t="s">
        <v>56</v>
      </c>
      <c r="E272" s="17">
        <v>0</v>
      </c>
      <c r="F272" s="1">
        <v>45992</v>
      </c>
    </row>
    <row r="273" spans="1:6" x14ac:dyDescent="0.3">
      <c r="A273" t="s">
        <v>3</v>
      </c>
      <c r="B273" t="s">
        <v>38</v>
      </c>
      <c r="C273" t="s">
        <v>9</v>
      </c>
      <c r="D273" t="s">
        <v>56</v>
      </c>
      <c r="E273" s="17">
        <v>17.100000000000001</v>
      </c>
      <c r="F273" s="1">
        <v>45992</v>
      </c>
    </row>
    <row r="274" spans="1:6" x14ac:dyDescent="0.3">
      <c r="A274" t="s">
        <v>5</v>
      </c>
      <c r="B274" t="s">
        <v>38</v>
      </c>
      <c r="C274" t="s">
        <v>4</v>
      </c>
      <c r="D274" t="s">
        <v>56</v>
      </c>
      <c r="E274" s="17">
        <v>62.8</v>
      </c>
      <c r="F274" s="1">
        <v>45992</v>
      </c>
    </row>
    <row r="275" spans="1:6" x14ac:dyDescent="0.3">
      <c r="A275" t="s">
        <v>8</v>
      </c>
      <c r="B275" t="s">
        <v>38</v>
      </c>
      <c r="C275" t="s">
        <v>9</v>
      </c>
      <c r="D275" t="s">
        <v>56</v>
      </c>
      <c r="E275" s="17">
        <v>387.5</v>
      </c>
      <c r="F275" s="1">
        <v>45992</v>
      </c>
    </row>
    <row r="276" spans="1:6" x14ac:dyDescent="0.3">
      <c r="A276" t="s">
        <v>15</v>
      </c>
      <c r="B276" t="s">
        <v>38</v>
      </c>
      <c r="C276" t="s">
        <v>9</v>
      </c>
      <c r="D276" t="s">
        <v>56</v>
      </c>
      <c r="E276" s="17">
        <v>230.2</v>
      </c>
      <c r="F276" s="1">
        <v>45992</v>
      </c>
    </row>
    <row r="277" spans="1:6" x14ac:dyDescent="0.3">
      <c r="A277" t="s">
        <v>14</v>
      </c>
      <c r="B277" t="s">
        <v>38</v>
      </c>
      <c r="C277" t="s">
        <v>9</v>
      </c>
      <c r="D277" t="s">
        <v>56</v>
      </c>
      <c r="E277" s="17">
        <v>16.3</v>
      </c>
      <c r="F277" s="1">
        <v>45992</v>
      </c>
    </row>
    <row r="278" spans="1:6" x14ac:dyDescent="0.3">
      <c r="A278" t="s">
        <v>8</v>
      </c>
      <c r="B278" t="s">
        <v>38</v>
      </c>
      <c r="C278" t="s">
        <v>6</v>
      </c>
      <c r="D278" t="s">
        <v>56</v>
      </c>
      <c r="E278" s="17">
        <v>238.3</v>
      </c>
      <c r="F278" s="1">
        <v>45992</v>
      </c>
    </row>
    <row r="279" spans="1:6" x14ac:dyDescent="0.3">
      <c r="A279" t="s">
        <v>10</v>
      </c>
      <c r="B279" t="s">
        <v>38</v>
      </c>
      <c r="C279" t="s">
        <v>9</v>
      </c>
      <c r="D279" t="s">
        <v>56</v>
      </c>
      <c r="E279" s="17">
        <v>563.79999999999995</v>
      </c>
      <c r="F279" s="1">
        <v>45992</v>
      </c>
    </row>
    <row r="280" spans="1:6" x14ac:dyDescent="0.3">
      <c r="A280" t="s">
        <v>11</v>
      </c>
      <c r="B280" t="s">
        <v>38</v>
      </c>
      <c r="C280" t="s">
        <v>4</v>
      </c>
      <c r="D280" t="s">
        <v>56</v>
      </c>
      <c r="E280" s="17">
        <v>3186</v>
      </c>
      <c r="F280" s="1">
        <v>45992</v>
      </c>
    </row>
    <row r="281" spans="1:6" x14ac:dyDescent="0.3">
      <c r="A281" t="s">
        <v>14</v>
      </c>
      <c r="B281" t="s">
        <v>38</v>
      </c>
      <c r="C281" t="s">
        <v>4</v>
      </c>
      <c r="D281" t="s">
        <v>56</v>
      </c>
      <c r="E281" s="17">
        <v>3.7</v>
      </c>
      <c r="F281" s="1">
        <v>45992</v>
      </c>
    </row>
    <row r="282" spans="1:6" x14ac:dyDescent="0.3">
      <c r="A282" t="s">
        <v>3</v>
      </c>
      <c r="B282" t="s">
        <v>38</v>
      </c>
      <c r="C282" t="s">
        <v>4</v>
      </c>
      <c r="D282" t="s">
        <v>56</v>
      </c>
      <c r="E282" s="17">
        <v>0</v>
      </c>
      <c r="F282" s="1">
        <v>45992</v>
      </c>
    </row>
    <row r="283" spans="1:6" x14ac:dyDescent="0.3">
      <c r="A283" t="s">
        <v>13</v>
      </c>
      <c r="B283" t="s">
        <v>38</v>
      </c>
      <c r="C283" t="s">
        <v>9</v>
      </c>
      <c r="D283" t="s">
        <v>56</v>
      </c>
      <c r="E283" s="17">
        <v>213.7</v>
      </c>
      <c r="F283" s="1">
        <v>45992</v>
      </c>
    </row>
    <row r="284" spans="1:6" x14ac:dyDescent="0.3">
      <c r="A284" t="s">
        <v>13</v>
      </c>
      <c r="B284" t="s">
        <v>38</v>
      </c>
      <c r="C284" t="s">
        <v>4</v>
      </c>
      <c r="D284" t="s">
        <v>56</v>
      </c>
      <c r="E284" s="17">
        <v>1.3</v>
      </c>
      <c r="F284" s="1">
        <v>45992</v>
      </c>
    </row>
    <row r="285" spans="1:6" x14ac:dyDescent="0.3">
      <c r="A285" t="s">
        <v>17</v>
      </c>
      <c r="B285" t="s">
        <v>38</v>
      </c>
      <c r="C285" t="s">
        <v>9</v>
      </c>
      <c r="D285" t="s">
        <v>56</v>
      </c>
      <c r="E285" s="17">
        <v>44.3</v>
      </c>
      <c r="F285" s="1">
        <v>45992</v>
      </c>
    </row>
    <row r="286" spans="1:6" x14ac:dyDescent="0.3">
      <c r="A286" t="s">
        <v>17</v>
      </c>
      <c r="B286" t="s">
        <v>38</v>
      </c>
      <c r="C286" t="s">
        <v>4</v>
      </c>
      <c r="D286" t="s">
        <v>56</v>
      </c>
      <c r="E286" s="17">
        <v>0</v>
      </c>
      <c r="F286" s="1">
        <v>45992</v>
      </c>
    </row>
    <row r="287" spans="1:6" x14ac:dyDescent="0.3">
      <c r="A287" t="s">
        <v>12</v>
      </c>
      <c r="B287" t="s">
        <v>38</v>
      </c>
      <c r="C287" t="s">
        <v>6</v>
      </c>
      <c r="D287" t="s">
        <v>56</v>
      </c>
      <c r="E287" s="17">
        <v>57</v>
      </c>
      <c r="F287" s="1">
        <v>45992</v>
      </c>
    </row>
    <row r="288" spans="1:6" x14ac:dyDescent="0.3">
      <c r="A288" t="s">
        <v>16</v>
      </c>
      <c r="B288" t="s">
        <v>38</v>
      </c>
      <c r="C288" t="s">
        <v>6</v>
      </c>
      <c r="D288" t="s">
        <v>56</v>
      </c>
      <c r="E288" s="17">
        <v>170.8</v>
      </c>
      <c r="F288" s="1">
        <v>45992</v>
      </c>
    </row>
    <row r="289" spans="1:6" x14ac:dyDescent="0.3">
      <c r="A289" t="s">
        <v>16</v>
      </c>
      <c r="B289" t="s">
        <v>38</v>
      </c>
      <c r="C289" t="s">
        <v>9</v>
      </c>
      <c r="D289" t="s">
        <v>56</v>
      </c>
      <c r="E289" s="17">
        <v>248.3</v>
      </c>
      <c r="F289" s="1">
        <v>45992</v>
      </c>
    </row>
    <row r="290" spans="1:6" x14ac:dyDescent="0.3">
      <c r="A290" t="s">
        <v>8</v>
      </c>
      <c r="B290" t="s">
        <v>38</v>
      </c>
      <c r="C290" t="s">
        <v>4</v>
      </c>
      <c r="D290" t="s">
        <v>56</v>
      </c>
      <c r="E290" s="17">
        <v>149.19999999999999</v>
      </c>
      <c r="F290" s="1">
        <v>45992</v>
      </c>
    </row>
    <row r="291" spans="1:6" x14ac:dyDescent="0.3">
      <c r="A291" t="s">
        <v>12</v>
      </c>
      <c r="B291" t="s">
        <v>38</v>
      </c>
      <c r="C291" t="s">
        <v>9</v>
      </c>
      <c r="D291" t="s">
        <v>56</v>
      </c>
      <c r="E291" s="17">
        <v>337</v>
      </c>
      <c r="F291" s="1">
        <v>45992</v>
      </c>
    </row>
    <row r="292" spans="1:6" x14ac:dyDescent="0.3">
      <c r="A292" t="s">
        <v>7</v>
      </c>
      <c r="B292" t="s">
        <v>38</v>
      </c>
      <c r="C292" t="s">
        <v>9</v>
      </c>
      <c r="D292" t="s">
        <v>56</v>
      </c>
      <c r="E292" s="17">
        <v>266.2</v>
      </c>
      <c r="F292" s="1">
        <v>45992</v>
      </c>
    </row>
    <row r="293" spans="1:6" x14ac:dyDescent="0.3">
      <c r="A293" t="s">
        <v>12</v>
      </c>
      <c r="B293" t="s">
        <v>38</v>
      </c>
      <c r="C293" t="s">
        <v>4</v>
      </c>
      <c r="D293" t="s">
        <v>56</v>
      </c>
      <c r="E293" s="17">
        <v>280</v>
      </c>
      <c r="F293" s="1">
        <v>45992</v>
      </c>
    </row>
    <row r="294" spans="1:6" x14ac:dyDescent="0.3">
      <c r="A294" t="s">
        <v>5</v>
      </c>
      <c r="B294" t="s">
        <v>38</v>
      </c>
      <c r="C294" t="s">
        <v>9</v>
      </c>
      <c r="D294" t="s">
        <v>56</v>
      </c>
      <c r="E294" s="17">
        <v>190.1</v>
      </c>
      <c r="F294" s="1">
        <v>45992</v>
      </c>
    </row>
    <row r="295" spans="1:6" x14ac:dyDescent="0.3">
      <c r="A295" t="s">
        <v>11</v>
      </c>
      <c r="B295" t="s">
        <v>38</v>
      </c>
      <c r="C295" t="s">
        <v>9</v>
      </c>
      <c r="D295" t="s">
        <v>56</v>
      </c>
      <c r="E295" s="17">
        <v>6862.7</v>
      </c>
      <c r="F295" s="1">
        <v>45992</v>
      </c>
    </row>
    <row r="296" spans="1:6" x14ac:dyDescent="0.3">
      <c r="A296" t="s">
        <v>7</v>
      </c>
      <c r="B296" t="s">
        <v>38</v>
      </c>
      <c r="C296" t="s">
        <v>4</v>
      </c>
      <c r="D296" t="s">
        <v>56</v>
      </c>
      <c r="E296" s="17">
        <v>121.4</v>
      </c>
      <c r="F296" s="1">
        <v>45992</v>
      </c>
    </row>
    <row r="297" spans="1:6" x14ac:dyDescent="0.3">
      <c r="A297" t="s">
        <v>14</v>
      </c>
      <c r="B297" t="s">
        <v>38</v>
      </c>
      <c r="C297" t="s">
        <v>6</v>
      </c>
      <c r="D297" t="s">
        <v>56</v>
      </c>
      <c r="E297" s="17">
        <v>12.6</v>
      </c>
      <c r="F297" s="1">
        <v>45992</v>
      </c>
    </row>
    <row r="298" spans="1:6" x14ac:dyDescent="0.3">
      <c r="A298" t="s">
        <v>7</v>
      </c>
      <c r="B298" t="s">
        <v>38</v>
      </c>
      <c r="C298" t="s">
        <v>6</v>
      </c>
      <c r="D298" t="s">
        <v>56</v>
      </c>
      <c r="E298" s="17">
        <v>144.80000000000001</v>
      </c>
      <c r="F298" s="1">
        <v>45992</v>
      </c>
    </row>
    <row r="299" spans="1:6" x14ac:dyDescent="0.3">
      <c r="A299" t="s">
        <v>5</v>
      </c>
      <c r="B299" t="s">
        <v>38</v>
      </c>
      <c r="C299" t="s">
        <v>6</v>
      </c>
      <c r="D299" t="s">
        <v>56</v>
      </c>
      <c r="E299" s="17">
        <v>127.3</v>
      </c>
      <c r="F299" s="1">
        <v>45992</v>
      </c>
    </row>
    <row r="300" spans="1:6" x14ac:dyDescent="0.3">
      <c r="A300" t="s">
        <v>10</v>
      </c>
      <c r="B300" t="s">
        <v>38</v>
      </c>
      <c r="C300" t="s">
        <v>4</v>
      </c>
      <c r="D300" t="s">
        <v>56</v>
      </c>
      <c r="E300" s="17">
        <v>285.39999999999998</v>
      </c>
      <c r="F300" s="1">
        <v>45992</v>
      </c>
    </row>
    <row r="301" spans="1:6" x14ac:dyDescent="0.3">
      <c r="A301" t="s">
        <v>16</v>
      </c>
      <c r="B301" t="s">
        <v>38</v>
      </c>
      <c r="C301" t="s">
        <v>4</v>
      </c>
      <c r="D301" t="s">
        <v>56</v>
      </c>
      <c r="E301" s="17">
        <v>77.5</v>
      </c>
      <c r="F301" s="1">
        <v>45992</v>
      </c>
    </row>
    <row r="302" spans="1:6" x14ac:dyDescent="0.3">
      <c r="A302" t="s">
        <v>10</v>
      </c>
      <c r="B302" t="s">
        <v>38</v>
      </c>
      <c r="C302" t="s">
        <v>6</v>
      </c>
      <c r="D302" t="s">
        <v>56</v>
      </c>
      <c r="E302" s="17">
        <v>278.39999999999998</v>
      </c>
      <c r="F302" s="1">
        <v>45992</v>
      </c>
    </row>
    <row r="303" spans="1:6" x14ac:dyDescent="0.3">
      <c r="A303" t="s">
        <v>3</v>
      </c>
      <c r="B303" t="s">
        <v>38</v>
      </c>
      <c r="C303" t="s">
        <v>6</v>
      </c>
      <c r="D303" t="s">
        <v>56</v>
      </c>
      <c r="E303" s="17">
        <v>0</v>
      </c>
      <c r="F303" s="1">
        <v>45992</v>
      </c>
    </row>
    <row r="304" spans="1:6" x14ac:dyDescent="0.3">
      <c r="A304" t="s">
        <v>13</v>
      </c>
      <c r="B304" t="s">
        <v>38</v>
      </c>
      <c r="C304" t="s">
        <v>6</v>
      </c>
      <c r="D304" t="s">
        <v>56</v>
      </c>
      <c r="E304" s="17">
        <v>212.4</v>
      </c>
      <c r="F304" s="1">
        <v>45992</v>
      </c>
    </row>
    <row r="305" spans="1:6" x14ac:dyDescent="0.3">
      <c r="A305" t="s">
        <v>18</v>
      </c>
      <c r="B305" t="s">
        <v>38</v>
      </c>
      <c r="C305" t="s">
        <v>9</v>
      </c>
      <c r="D305" t="s">
        <v>56</v>
      </c>
      <c r="E305" s="17">
        <v>669.5</v>
      </c>
      <c r="F305" s="1">
        <v>45992</v>
      </c>
    </row>
    <row r="306" spans="1:6" x14ac:dyDescent="0.3">
      <c r="A306" t="s">
        <v>25</v>
      </c>
      <c r="B306" t="s">
        <v>38</v>
      </c>
      <c r="C306" t="s">
        <v>6</v>
      </c>
      <c r="D306" t="s">
        <v>56</v>
      </c>
      <c r="E306" s="17">
        <v>140.9</v>
      </c>
      <c r="F306" s="1">
        <v>45992</v>
      </c>
    </row>
    <row r="307" spans="1:6" x14ac:dyDescent="0.3">
      <c r="A307" t="s">
        <v>24</v>
      </c>
      <c r="B307" t="s">
        <v>38</v>
      </c>
      <c r="C307" t="s">
        <v>4</v>
      </c>
      <c r="D307" t="s">
        <v>56</v>
      </c>
      <c r="E307" s="17">
        <v>0</v>
      </c>
      <c r="F307" s="1">
        <v>45992</v>
      </c>
    </row>
    <row r="308" spans="1:6" x14ac:dyDescent="0.3">
      <c r="A308" t="s">
        <v>28</v>
      </c>
      <c r="B308" t="s">
        <v>38</v>
      </c>
      <c r="C308" t="s">
        <v>4</v>
      </c>
      <c r="D308" t="s">
        <v>56</v>
      </c>
      <c r="E308" s="17">
        <v>211.5</v>
      </c>
      <c r="F308" s="1">
        <v>45992</v>
      </c>
    </row>
    <row r="309" spans="1:6" x14ac:dyDescent="0.3">
      <c r="A309" t="s">
        <v>27</v>
      </c>
      <c r="B309" t="s">
        <v>38</v>
      </c>
      <c r="C309" t="s">
        <v>9</v>
      </c>
      <c r="D309" t="s">
        <v>56</v>
      </c>
      <c r="E309" s="17">
        <v>654.79999999999995</v>
      </c>
      <c r="F309" s="1">
        <v>45992</v>
      </c>
    </row>
    <row r="310" spans="1:6" x14ac:dyDescent="0.3">
      <c r="A310" t="s">
        <v>22</v>
      </c>
      <c r="B310" t="s">
        <v>38</v>
      </c>
      <c r="C310" t="s">
        <v>9</v>
      </c>
      <c r="D310" t="s">
        <v>56</v>
      </c>
      <c r="E310" s="17">
        <v>232.2</v>
      </c>
      <c r="F310" s="1">
        <v>45992</v>
      </c>
    </row>
    <row r="311" spans="1:6" x14ac:dyDescent="0.3">
      <c r="A311" t="s">
        <v>18</v>
      </c>
      <c r="B311" t="s">
        <v>38</v>
      </c>
      <c r="C311" t="s">
        <v>4</v>
      </c>
      <c r="D311" t="s">
        <v>56</v>
      </c>
      <c r="E311" s="17">
        <v>474.5</v>
      </c>
      <c r="F311" s="1">
        <v>45992</v>
      </c>
    </row>
    <row r="312" spans="1:6" x14ac:dyDescent="0.3">
      <c r="A312" t="s">
        <v>28</v>
      </c>
      <c r="B312" t="s">
        <v>38</v>
      </c>
      <c r="C312" t="s">
        <v>9</v>
      </c>
      <c r="D312" t="s">
        <v>56</v>
      </c>
      <c r="E312" s="17">
        <v>499.8</v>
      </c>
      <c r="F312" s="1">
        <v>45992</v>
      </c>
    </row>
    <row r="313" spans="1:6" x14ac:dyDescent="0.3">
      <c r="A313" t="s">
        <v>19</v>
      </c>
      <c r="B313" t="s">
        <v>38</v>
      </c>
      <c r="C313" t="s">
        <v>6</v>
      </c>
      <c r="D313" t="s">
        <v>56</v>
      </c>
      <c r="E313" s="17">
        <v>120.1</v>
      </c>
      <c r="F313" s="1">
        <v>45992</v>
      </c>
    </row>
    <row r="314" spans="1:6" x14ac:dyDescent="0.3">
      <c r="A314" t="s">
        <v>27</v>
      </c>
      <c r="B314" t="s">
        <v>38</v>
      </c>
      <c r="C314" t="s">
        <v>6</v>
      </c>
      <c r="D314" t="s">
        <v>56</v>
      </c>
      <c r="E314" s="17">
        <v>337.6</v>
      </c>
      <c r="F314" s="1">
        <v>45992</v>
      </c>
    </row>
    <row r="315" spans="1:6" x14ac:dyDescent="0.3">
      <c r="A315" t="s">
        <v>25</v>
      </c>
      <c r="B315" t="s">
        <v>38</v>
      </c>
      <c r="C315" t="s">
        <v>4</v>
      </c>
      <c r="D315" t="s">
        <v>56</v>
      </c>
      <c r="E315" s="17">
        <v>8.1999999999999993</v>
      </c>
      <c r="F315" s="1">
        <v>45992</v>
      </c>
    </row>
    <row r="316" spans="1:6" x14ac:dyDescent="0.3">
      <c r="A316" t="s">
        <v>27</v>
      </c>
      <c r="B316" t="s">
        <v>38</v>
      </c>
      <c r="C316" t="s">
        <v>4</v>
      </c>
      <c r="D316" t="s">
        <v>56</v>
      </c>
      <c r="E316" s="17">
        <v>317.2</v>
      </c>
      <c r="F316" s="1">
        <v>45992</v>
      </c>
    </row>
    <row r="317" spans="1:6" x14ac:dyDescent="0.3">
      <c r="A317" t="s">
        <v>15</v>
      </c>
      <c r="B317" t="s">
        <v>38</v>
      </c>
      <c r="C317" t="s">
        <v>4</v>
      </c>
      <c r="D317" t="s">
        <v>55</v>
      </c>
      <c r="E317" s="17">
        <v>15.9</v>
      </c>
      <c r="F317" s="1">
        <v>45627</v>
      </c>
    </row>
    <row r="318" spans="1:6" x14ac:dyDescent="0.3">
      <c r="A318" t="s">
        <v>29</v>
      </c>
      <c r="B318" t="s">
        <v>38</v>
      </c>
      <c r="C318" t="s">
        <v>9</v>
      </c>
      <c r="D318" t="s">
        <v>56</v>
      </c>
      <c r="E318" s="17">
        <v>226.8</v>
      </c>
      <c r="F318" s="1">
        <v>45992</v>
      </c>
    </row>
    <row r="319" spans="1:6" x14ac:dyDescent="0.3">
      <c r="A319" t="s">
        <v>21</v>
      </c>
      <c r="B319" t="s">
        <v>38</v>
      </c>
      <c r="C319" t="s">
        <v>6</v>
      </c>
      <c r="D319" t="s">
        <v>56</v>
      </c>
      <c r="E319" s="17">
        <v>228.5</v>
      </c>
      <c r="F319" s="1">
        <v>45992</v>
      </c>
    </row>
    <row r="320" spans="1:6" x14ac:dyDescent="0.3">
      <c r="A320" t="s">
        <v>20</v>
      </c>
      <c r="B320" t="s">
        <v>38</v>
      </c>
      <c r="C320" t="s">
        <v>4</v>
      </c>
      <c r="D320" t="s">
        <v>56</v>
      </c>
      <c r="E320" s="17">
        <v>22.3</v>
      </c>
      <c r="F320" s="1">
        <v>45992</v>
      </c>
    </row>
    <row r="321" spans="1:6" x14ac:dyDescent="0.3">
      <c r="A321" t="s">
        <v>29</v>
      </c>
      <c r="B321" t="s">
        <v>38</v>
      </c>
      <c r="C321" t="s">
        <v>6</v>
      </c>
      <c r="D321" t="s">
        <v>56</v>
      </c>
      <c r="E321" s="17">
        <v>70.099999999999994</v>
      </c>
      <c r="F321" s="1">
        <v>45992</v>
      </c>
    </row>
    <row r="322" spans="1:6" x14ac:dyDescent="0.3">
      <c r="A322" t="s">
        <v>26</v>
      </c>
      <c r="B322" t="s">
        <v>38</v>
      </c>
      <c r="C322" t="s">
        <v>6</v>
      </c>
      <c r="D322" t="s">
        <v>56</v>
      </c>
      <c r="E322" s="17">
        <v>80.099999999999994</v>
      </c>
      <c r="F322" s="1">
        <v>45992</v>
      </c>
    </row>
    <row r="323" spans="1:6" x14ac:dyDescent="0.3">
      <c r="A323" t="s">
        <v>30</v>
      </c>
      <c r="B323" t="s">
        <v>38</v>
      </c>
      <c r="C323" t="s">
        <v>9</v>
      </c>
      <c r="D323" t="s">
        <v>56</v>
      </c>
      <c r="E323" s="17">
        <v>412.5</v>
      </c>
      <c r="F323" s="1">
        <v>45992</v>
      </c>
    </row>
    <row r="324" spans="1:6" x14ac:dyDescent="0.3">
      <c r="A324" t="s">
        <v>28</v>
      </c>
      <c r="B324" t="s">
        <v>38</v>
      </c>
      <c r="C324" t="s">
        <v>6</v>
      </c>
      <c r="D324" t="s">
        <v>56</v>
      </c>
      <c r="E324" s="17">
        <v>288.3</v>
      </c>
      <c r="F324" s="1">
        <v>45992</v>
      </c>
    </row>
    <row r="325" spans="1:6" x14ac:dyDescent="0.3">
      <c r="A325" t="s">
        <v>18</v>
      </c>
      <c r="B325" t="s">
        <v>38</v>
      </c>
      <c r="C325" t="s">
        <v>6</v>
      </c>
      <c r="D325" t="s">
        <v>56</v>
      </c>
      <c r="E325" s="17">
        <v>195</v>
      </c>
      <c r="F325" s="1">
        <v>45992</v>
      </c>
    </row>
    <row r="326" spans="1:6" x14ac:dyDescent="0.3">
      <c r="A326" t="s">
        <v>22</v>
      </c>
      <c r="B326" t="s">
        <v>38</v>
      </c>
      <c r="C326" t="s">
        <v>4</v>
      </c>
      <c r="D326" t="s">
        <v>56</v>
      </c>
      <c r="E326" s="17">
        <v>147.69999999999999</v>
      </c>
      <c r="F326" s="1">
        <v>45992</v>
      </c>
    </row>
    <row r="327" spans="1:6" x14ac:dyDescent="0.3">
      <c r="A327" t="s">
        <v>23</v>
      </c>
      <c r="B327" t="s">
        <v>38</v>
      </c>
      <c r="C327" t="s">
        <v>6</v>
      </c>
      <c r="D327" t="s">
        <v>56</v>
      </c>
      <c r="E327" s="17">
        <v>182.5</v>
      </c>
      <c r="F327" s="1">
        <v>45992</v>
      </c>
    </row>
    <row r="328" spans="1:6" x14ac:dyDescent="0.3">
      <c r="A328" t="s">
        <v>26</v>
      </c>
      <c r="B328" t="s">
        <v>38</v>
      </c>
      <c r="C328" t="s">
        <v>9</v>
      </c>
      <c r="D328" t="s">
        <v>56</v>
      </c>
      <c r="E328" s="17">
        <v>470</v>
      </c>
      <c r="F328" s="1">
        <v>45992</v>
      </c>
    </row>
    <row r="329" spans="1:6" x14ac:dyDescent="0.3">
      <c r="A329" t="s">
        <v>19</v>
      </c>
      <c r="B329" t="s">
        <v>38</v>
      </c>
      <c r="C329" t="s">
        <v>4</v>
      </c>
      <c r="D329" t="s">
        <v>56</v>
      </c>
      <c r="E329" s="17">
        <v>74.2</v>
      </c>
      <c r="F329" s="1">
        <v>45992</v>
      </c>
    </row>
    <row r="330" spans="1:6" x14ac:dyDescent="0.3">
      <c r="A330" t="s">
        <v>24</v>
      </c>
      <c r="B330" t="s">
        <v>38</v>
      </c>
      <c r="C330" t="s">
        <v>9</v>
      </c>
      <c r="D330" t="s">
        <v>56</v>
      </c>
      <c r="E330" s="17">
        <v>56.6</v>
      </c>
      <c r="F330" s="1">
        <v>45992</v>
      </c>
    </row>
    <row r="331" spans="1:6" x14ac:dyDescent="0.3">
      <c r="A331" t="s">
        <v>30</v>
      </c>
      <c r="B331" t="s">
        <v>38</v>
      </c>
      <c r="C331" t="s">
        <v>6</v>
      </c>
      <c r="D331" t="s">
        <v>56</v>
      </c>
      <c r="E331" s="17">
        <v>125.5</v>
      </c>
      <c r="F331" s="1">
        <v>45992</v>
      </c>
    </row>
    <row r="332" spans="1:6" x14ac:dyDescent="0.3">
      <c r="A332" t="s">
        <v>24</v>
      </c>
      <c r="B332" t="s">
        <v>38</v>
      </c>
      <c r="C332" t="s">
        <v>6</v>
      </c>
      <c r="D332" t="s">
        <v>56</v>
      </c>
      <c r="E332" s="17">
        <v>0</v>
      </c>
      <c r="F332" s="1">
        <v>45992</v>
      </c>
    </row>
    <row r="333" spans="1:6" x14ac:dyDescent="0.3">
      <c r="A333" t="s">
        <v>23</v>
      </c>
      <c r="B333" t="s">
        <v>38</v>
      </c>
      <c r="C333" t="s">
        <v>4</v>
      </c>
      <c r="D333" t="s">
        <v>56</v>
      </c>
      <c r="E333" s="17">
        <v>62.1</v>
      </c>
      <c r="F333" s="1">
        <v>45992</v>
      </c>
    </row>
    <row r="334" spans="1:6" x14ac:dyDescent="0.3">
      <c r="A334" t="s">
        <v>23</v>
      </c>
      <c r="B334" t="s">
        <v>38</v>
      </c>
      <c r="C334" t="s">
        <v>9</v>
      </c>
      <c r="D334" t="s">
        <v>56</v>
      </c>
      <c r="E334" s="17">
        <v>244.6</v>
      </c>
      <c r="F334" s="1">
        <v>45992</v>
      </c>
    </row>
    <row r="335" spans="1:6" x14ac:dyDescent="0.3">
      <c r="A335" t="s">
        <v>19</v>
      </c>
      <c r="B335" t="s">
        <v>38</v>
      </c>
      <c r="C335" t="s">
        <v>9</v>
      </c>
      <c r="D335" t="s">
        <v>56</v>
      </c>
      <c r="E335" s="17">
        <v>194.3</v>
      </c>
      <c r="F335" s="1">
        <v>45992</v>
      </c>
    </row>
    <row r="336" spans="1:6" x14ac:dyDescent="0.3">
      <c r="A336" t="s">
        <v>21</v>
      </c>
      <c r="B336" t="s">
        <v>38</v>
      </c>
      <c r="C336" t="s">
        <v>4</v>
      </c>
      <c r="D336" t="s">
        <v>56</v>
      </c>
      <c r="E336" s="17">
        <v>34.1</v>
      </c>
      <c r="F336" s="1">
        <v>45992</v>
      </c>
    </row>
    <row r="337" spans="1:6" x14ac:dyDescent="0.3">
      <c r="A337" t="s">
        <v>22</v>
      </c>
      <c r="B337" t="s">
        <v>38</v>
      </c>
      <c r="C337" t="s">
        <v>6</v>
      </c>
      <c r="D337" t="s">
        <v>56</v>
      </c>
      <c r="E337" s="17">
        <v>84.5</v>
      </c>
      <c r="F337" s="1">
        <v>45992</v>
      </c>
    </row>
    <row r="338" spans="1:6" x14ac:dyDescent="0.3">
      <c r="A338" t="s">
        <v>20</v>
      </c>
      <c r="B338" t="s">
        <v>38</v>
      </c>
      <c r="C338" t="s">
        <v>9</v>
      </c>
      <c r="D338" t="s">
        <v>56</v>
      </c>
      <c r="E338" s="17">
        <v>275.39999999999998</v>
      </c>
      <c r="F338" s="1">
        <v>45992</v>
      </c>
    </row>
    <row r="339" spans="1:6" x14ac:dyDescent="0.3">
      <c r="A339" t="s">
        <v>30</v>
      </c>
      <c r="B339" t="s">
        <v>38</v>
      </c>
      <c r="C339" t="s">
        <v>4</v>
      </c>
      <c r="D339" t="s">
        <v>56</v>
      </c>
      <c r="E339" s="17">
        <v>287</v>
      </c>
      <c r="F339" s="1">
        <v>45992</v>
      </c>
    </row>
    <row r="340" spans="1:6" x14ac:dyDescent="0.3">
      <c r="A340" t="s">
        <v>25</v>
      </c>
      <c r="B340" t="s">
        <v>38</v>
      </c>
      <c r="C340" t="s">
        <v>9</v>
      </c>
      <c r="D340" t="s">
        <v>56</v>
      </c>
      <c r="E340" s="17">
        <v>149.1</v>
      </c>
      <c r="F340" s="1">
        <v>45992</v>
      </c>
    </row>
    <row r="341" spans="1:6" x14ac:dyDescent="0.3">
      <c r="A341" t="s">
        <v>26</v>
      </c>
      <c r="B341" t="s">
        <v>38</v>
      </c>
      <c r="C341" t="s">
        <v>4</v>
      </c>
      <c r="D341" t="s">
        <v>56</v>
      </c>
      <c r="E341" s="17">
        <v>389.9</v>
      </c>
      <c r="F341" s="1">
        <v>45992</v>
      </c>
    </row>
    <row r="342" spans="1:6" x14ac:dyDescent="0.3">
      <c r="A342" t="s">
        <v>29</v>
      </c>
      <c r="B342" t="s">
        <v>38</v>
      </c>
      <c r="C342" t="s">
        <v>4</v>
      </c>
      <c r="D342" t="s">
        <v>56</v>
      </c>
      <c r="E342" s="17">
        <v>156.69999999999999</v>
      </c>
      <c r="F342" s="1">
        <v>45992</v>
      </c>
    </row>
    <row r="343" spans="1:6" x14ac:dyDescent="0.3">
      <c r="A343" t="s">
        <v>21</v>
      </c>
      <c r="B343" t="s">
        <v>38</v>
      </c>
      <c r="C343" t="s">
        <v>9</v>
      </c>
      <c r="D343" t="s">
        <v>56</v>
      </c>
      <c r="E343" s="17">
        <v>262.60000000000002</v>
      </c>
      <c r="F343" s="1">
        <v>45992</v>
      </c>
    </row>
    <row r="344" spans="1:6" x14ac:dyDescent="0.3">
      <c r="A344" t="s">
        <v>20</v>
      </c>
      <c r="B344" t="s">
        <v>38</v>
      </c>
      <c r="C344" t="s">
        <v>6</v>
      </c>
      <c r="D344" t="s">
        <v>56</v>
      </c>
      <c r="E344" s="17">
        <v>253.1</v>
      </c>
      <c r="F344" s="1">
        <v>45992</v>
      </c>
    </row>
    <row r="345" spans="1:6" x14ac:dyDescent="0.3">
      <c r="A345" t="s">
        <v>11</v>
      </c>
      <c r="B345" t="s">
        <v>38</v>
      </c>
      <c r="C345" t="s">
        <v>6</v>
      </c>
      <c r="D345" t="s">
        <v>55</v>
      </c>
      <c r="E345" s="17">
        <v>4260.6000000000004</v>
      </c>
      <c r="F345" s="1">
        <v>45627</v>
      </c>
    </row>
    <row r="346" spans="1:6" x14ac:dyDescent="0.3">
      <c r="A346" t="s">
        <v>17</v>
      </c>
      <c r="B346" t="s">
        <v>38</v>
      </c>
      <c r="C346" t="s">
        <v>6</v>
      </c>
      <c r="D346" t="s">
        <v>55</v>
      </c>
      <c r="E346" s="17">
        <v>0</v>
      </c>
      <c r="F346" s="1">
        <v>45627</v>
      </c>
    </row>
    <row r="347" spans="1:6" x14ac:dyDescent="0.3">
      <c r="A347" t="s">
        <v>3</v>
      </c>
      <c r="B347" t="s">
        <v>38</v>
      </c>
      <c r="C347" t="s">
        <v>9</v>
      </c>
      <c r="D347" t="s">
        <v>55</v>
      </c>
      <c r="E347" s="17">
        <v>26.7</v>
      </c>
      <c r="F347" s="1">
        <v>45627</v>
      </c>
    </row>
    <row r="348" spans="1:6" x14ac:dyDescent="0.3">
      <c r="A348" t="s">
        <v>14</v>
      </c>
      <c r="B348" t="s">
        <v>38</v>
      </c>
      <c r="C348" t="s">
        <v>9</v>
      </c>
      <c r="D348" t="s">
        <v>55</v>
      </c>
      <c r="E348" s="17">
        <v>17.399999999999999</v>
      </c>
      <c r="F348" s="1">
        <v>45627</v>
      </c>
    </row>
    <row r="349" spans="1:6" x14ac:dyDescent="0.3">
      <c r="A349" t="s">
        <v>8</v>
      </c>
      <c r="B349" t="s">
        <v>38</v>
      </c>
      <c r="C349" t="s">
        <v>6</v>
      </c>
      <c r="D349" t="s">
        <v>55</v>
      </c>
      <c r="E349" s="17">
        <v>271.8</v>
      </c>
      <c r="F349" s="1">
        <v>45627</v>
      </c>
    </row>
    <row r="350" spans="1:6" x14ac:dyDescent="0.3">
      <c r="A350" t="s">
        <v>14</v>
      </c>
      <c r="B350" t="s">
        <v>38</v>
      </c>
      <c r="C350" t="s">
        <v>4</v>
      </c>
      <c r="D350" t="s">
        <v>55</v>
      </c>
      <c r="E350" s="17">
        <v>4.2</v>
      </c>
      <c r="F350" s="1">
        <v>45627</v>
      </c>
    </row>
    <row r="351" spans="1:6" x14ac:dyDescent="0.3">
      <c r="A351" t="s">
        <v>3</v>
      </c>
      <c r="B351" t="s">
        <v>38</v>
      </c>
      <c r="C351" t="s">
        <v>4</v>
      </c>
      <c r="D351" t="s">
        <v>55</v>
      </c>
      <c r="E351" s="17">
        <v>0</v>
      </c>
      <c r="F351" s="1">
        <v>45627</v>
      </c>
    </row>
    <row r="352" spans="1:6" x14ac:dyDescent="0.3">
      <c r="A352" t="s">
        <v>17</v>
      </c>
      <c r="B352" t="s">
        <v>38</v>
      </c>
      <c r="C352" t="s">
        <v>9</v>
      </c>
      <c r="D352" t="s">
        <v>55</v>
      </c>
      <c r="E352" s="17">
        <v>48</v>
      </c>
      <c r="F352" s="1">
        <v>45627</v>
      </c>
    </row>
    <row r="353" spans="1:6" x14ac:dyDescent="0.3">
      <c r="A353" t="s">
        <v>12</v>
      </c>
      <c r="B353" t="s">
        <v>38</v>
      </c>
      <c r="C353" t="s">
        <v>6</v>
      </c>
      <c r="D353" t="s">
        <v>55</v>
      </c>
      <c r="E353" s="17">
        <v>64.5</v>
      </c>
      <c r="F353" s="1">
        <v>45627</v>
      </c>
    </row>
    <row r="354" spans="1:6" x14ac:dyDescent="0.3">
      <c r="A354" t="s">
        <v>16</v>
      </c>
      <c r="B354" t="s">
        <v>38</v>
      </c>
      <c r="C354" t="s">
        <v>9</v>
      </c>
      <c r="D354" t="s">
        <v>55</v>
      </c>
      <c r="E354" s="17">
        <v>261.3</v>
      </c>
      <c r="F354" s="1">
        <v>45627</v>
      </c>
    </row>
    <row r="355" spans="1:6" x14ac:dyDescent="0.3">
      <c r="A355" t="s">
        <v>8</v>
      </c>
      <c r="B355" t="s">
        <v>38</v>
      </c>
      <c r="C355" t="s">
        <v>4</v>
      </c>
      <c r="D355" t="s">
        <v>55</v>
      </c>
      <c r="E355" s="17">
        <v>139.30000000000001</v>
      </c>
      <c r="F355" s="1">
        <v>45627</v>
      </c>
    </row>
    <row r="356" spans="1:6" x14ac:dyDescent="0.3">
      <c r="A356" t="s">
        <v>12</v>
      </c>
      <c r="B356" t="s">
        <v>38</v>
      </c>
      <c r="C356" t="s">
        <v>9</v>
      </c>
      <c r="D356" t="s">
        <v>55</v>
      </c>
      <c r="E356" s="17">
        <v>332.1</v>
      </c>
      <c r="F356" s="1">
        <v>45627</v>
      </c>
    </row>
    <row r="357" spans="1:6" x14ac:dyDescent="0.3">
      <c r="A357" t="s">
        <v>5</v>
      </c>
      <c r="B357" t="s">
        <v>38</v>
      </c>
      <c r="C357" t="s">
        <v>9</v>
      </c>
      <c r="D357" t="s">
        <v>55</v>
      </c>
      <c r="E357" s="17">
        <v>204.2</v>
      </c>
      <c r="F357" s="1">
        <v>45627</v>
      </c>
    </row>
    <row r="358" spans="1:6" x14ac:dyDescent="0.3">
      <c r="A358" t="s">
        <v>7</v>
      </c>
      <c r="B358" t="s">
        <v>38</v>
      </c>
      <c r="C358" t="s">
        <v>4</v>
      </c>
      <c r="D358" t="s">
        <v>55</v>
      </c>
      <c r="E358" s="17">
        <v>114.1</v>
      </c>
      <c r="F358" s="1">
        <v>45627</v>
      </c>
    </row>
    <row r="359" spans="1:6" x14ac:dyDescent="0.3">
      <c r="A359" t="s">
        <v>7</v>
      </c>
      <c r="B359" t="s">
        <v>38</v>
      </c>
      <c r="C359" t="s">
        <v>6</v>
      </c>
      <c r="D359" t="s">
        <v>55</v>
      </c>
      <c r="E359" s="17">
        <v>165</v>
      </c>
      <c r="F359" s="1">
        <v>45627</v>
      </c>
    </row>
    <row r="360" spans="1:6" x14ac:dyDescent="0.3">
      <c r="A360" t="s">
        <v>10</v>
      </c>
      <c r="B360" t="s">
        <v>38</v>
      </c>
      <c r="C360" t="s">
        <v>4</v>
      </c>
      <c r="D360" t="s">
        <v>55</v>
      </c>
      <c r="E360" s="17">
        <v>260.2</v>
      </c>
      <c r="F360" s="1">
        <v>45627</v>
      </c>
    </row>
    <row r="361" spans="1:6" x14ac:dyDescent="0.3">
      <c r="A361" t="s">
        <v>16</v>
      </c>
      <c r="B361" t="s">
        <v>38</v>
      </c>
      <c r="C361" t="s">
        <v>4</v>
      </c>
      <c r="D361" t="s">
        <v>55</v>
      </c>
      <c r="E361" s="17">
        <v>78.2</v>
      </c>
      <c r="F361" s="1">
        <v>45627</v>
      </c>
    </row>
    <row r="362" spans="1:6" x14ac:dyDescent="0.3">
      <c r="A362" t="s">
        <v>13</v>
      </c>
      <c r="B362" t="s">
        <v>38</v>
      </c>
      <c r="C362" t="s">
        <v>6</v>
      </c>
      <c r="D362" t="s">
        <v>55</v>
      </c>
      <c r="E362" s="17">
        <v>264.7</v>
      </c>
      <c r="F362" s="1">
        <v>45627</v>
      </c>
    </row>
    <row r="363" spans="1:6" x14ac:dyDescent="0.3">
      <c r="A363" t="s">
        <v>27</v>
      </c>
      <c r="B363" t="s">
        <v>38</v>
      </c>
      <c r="C363" t="s">
        <v>9</v>
      </c>
      <c r="D363" t="s">
        <v>55</v>
      </c>
      <c r="E363" s="17">
        <v>655.6</v>
      </c>
      <c r="F363" s="1">
        <v>45627</v>
      </c>
    </row>
    <row r="364" spans="1:6" x14ac:dyDescent="0.3">
      <c r="A364" t="s">
        <v>22</v>
      </c>
      <c r="B364" t="s">
        <v>38</v>
      </c>
      <c r="C364" t="s">
        <v>9</v>
      </c>
      <c r="D364" t="s">
        <v>55</v>
      </c>
      <c r="E364" s="17">
        <v>257</v>
      </c>
      <c r="F364" s="1">
        <v>45627</v>
      </c>
    </row>
    <row r="365" spans="1:6" x14ac:dyDescent="0.3">
      <c r="A365" t="s">
        <v>19</v>
      </c>
      <c r="B365" t="s">
        <v>38</v>
      </c>
      <c r="C365" t="s">
        <v>6</v>
      </c>
      <c r="D365" t="s">
        <v>55</v>
      </c>
      <c r="E365" s="17">
        <v>132.80000000000001</v>
      </c>
      <c r="F365" s="1">
        <v>45627</v>
      </c>
    </row>
    <row r="366" spans="1:6" x14ac:dyDescent="0.3">
      <c r="A366" t="s">
        <v>29</v>
      </c>
      <c r="B366" t="s">
        <v>38</v>
      </c>
      <c r="C366" t="s">
        <v>9</v>
      </c>
      <c r="D366" t="s">
        <v>55</v>
      </c>
      <c r="E366" s="17">
        <v>230</v>
      </c>
      <c r="F366" s="1">
        <v>45627</v>
      </c>
    </row>
    <row r="367" spans="1:6" x14ac:dyDescent="0.3">
      <c r="A367" t="s">
        <v>20</v>
      </c>
      <c r="B367" t="s">
        <v>38</v>
      </c>
      <c r="C367" t="s">
        <v>4</v>
      </c>
      <c r="D367" t="s">
        <v>55</v>
      </c>
      <c r="E367" s="17">
        <v>22.5</v>
      </c>
      <c r="F367" s="1">
        <v>45627</v>
      </c>
    </row>
    <row r="368" spans="1:6" x14ac:dyDescent="0.3">
      <c r="A368" t="s">
        <v>29</v>
      </c>
      <c r="B368" t="s">
        <v>38</v>
      </c>
      <c r="C368" t="s">
        <v>6</v>
      </c>
      <c r="D368" t="s">
        <v>55</v>
      </c>
      <c r="E368" s="17">
        <v>71.900000000000006</v>
      </c>
      <c r="F368" s="1">
        <v>45627</v>
      </c>
    </row>
    <row r="369" spans="1:6" x14ac:dyDescent="0.3">
      <c r="A369" t="s">
        <v>30</v>
      </c>
      <c r="B369" t="s">
        <v>38</v>
      </c>
      <c r="C369" t="s">
        <v>9</v>
      </c>
      <c r="D369" t="s">
        <v>55</v>
      </c>
      <c r="E369" s="17">
        <v>404.7</v>
      </c>
      <c r="F369" s="1">
        <v>45627</v>
      </c>
    </row>
    <row r="370" spans="1:6" x14ac:dyDescent="0.3">
      <c r="A370" t="s">
        <v>23</v>
      </c>
      <c r="B370" t="s">
        <v>38</v>
      </c>
      <c r="C370" t="s">
        <v>6</v>
      </c>
      <c r="D370" t="s">
        <v>55</v>
      </c>
      <c r="E370" s="17">
        <v>228.3</v>
      </c>
      <c r="F370" s="1">
        <v>45627</v>
      </c>
    </row>
    <row r="371" spans="1:6" x14ac:dyDescent="0.3">
      <c r="A371" t="s">
        <v>26</v>
      </c>
      <c r="B371" t="s">
        <v>38</v>
      </c>
      <c r="C371" t="s">
        <v>9</v>
      </c>
      <c r="D371" t="s">
        <v>55</v>
      </c>
      <c r="E371" s="17">
        <v>465.4</v>
      </c>
      <c r="F371" s="1">
        <v>45627</v>
      </c>
    </row>
    <row r="372" spans="1:6" x14ac:dyDescent="0.3">
      <c r="A372" t="s">
        <v>19</v>
      </c>
      <c r="B372" t="s">
        <v>38</v>
      </c>
      <c r="C372" t="s">
        <v>4</v>
      </c>
      <c r="D372" t="s">
        <v>55</v>
      </c>
      <c r="E372" s="17">
        <v>68</v>
      </c>
      <c r="F372" s="1">
        <v>45627</v>
      </c>
    </row>
    <row r="373" spans="1:6" x14ac:dyDescent="0.3">
      <c r="A373" t="s">
        <v>30</v>
      </c>
      <c r="B373" t="s">
        <v>38</v>
      </c>
      <c r="C373" t="s">
        <v>6</v>
      </c>
      <c r="D373" t="s">
        <v>55</v>
      </c>
      <c r="E373" s="17">
        <v>135.80000000000001</v>
      </c>
      <c r="F373" s="1">
        <v>45627</v>
      </c>
    </row>
    <row r="374" spans="1:6" x14ac:dyDescent="0.3">
      <c r="A374" t="s">
        <v>23</v>
      </c>
      <c r="B374" t="s">
        <v>38</v>
      </c>
      <c r="C374" t="s">
        <v>4</v>
      </c>
      <c r="D374" t="s">
        <v>55</v>
      </c>
      <c r="E374" s="17">
        <v>54.4</v>
      </c>
      <c r="F374" s="1">
        <v>45627</v>
      </c>
    </row>
    <row r="375" spans="1:6" x14ac:dyDescent="0.3">
      <c r="A375" t="s">
        <v>23</v>
      </c>
      <c r="B375" t="s">
        <v>38</v>
      </c>
      <c r="C375" t="s">
        <v>9</v>
      </c>
      <c r="D375" t="s">
        <v>55</v>
      </c>
      <c r="E375" s="17">
        <v>282.7</v>
      </c>
      <c r="F375" s="1">
        <v>45627</v>
      </c>
    </row>
    <row r="376" spans="1:6" x14ac:dyDescent="0.3">
      <c r="A376" t="s">
        <v>19</v>
      </c>
      <c r="B376" t="s">
        <v>38</v>
      </c>
      <c r="C376" t="s">
        <v>9</v>
      </c>
      <c r="D376" t="s">
        <v>55</v>
      </c>
      <c r="E376" s="17">
        <v>200.8</v>
      </c>
      <c r="F376" s="1">
        <v>45627</v>
      </c>
    </row>
    <row r="377" spans="1:6" x14ac:dyDescent="0.3">
      <c r="A377" t="s">
        <v>22</v>
      </c>
      <c r="B377" t="s">
        <v>38</v>
      </c>
      <c r="C377" t="s">
        <v>6</v>
      </c>
      <c r="D377" t="s">
        <v>55</v>
      </c>
      <c r="E377" s="17">
        <v>103.5</v>
      </c>
      <c r="F377" s="1">
        <v>45627</v>
      </c>
    </row>
    <row r="378" spans="1:6" x14ac:dyDescent="0.3">
      <c r="A378" t="s">
        <v>21</v>
      </c>
      <c r="B378" t="s">
        <v>38</v>
      </c>
      <c r="C378" t="s">
        <v>9</v>
      </c>
      <c r="D378" t="s">
        <v>55</v>
      </c>
      <c r="E378" s="17">
        <v>285.2</v>
      </c>
      <c r="F378" s="1">
        <v>45627</v>
      </c>
    </row>
    <row r="379" spans="1:6" x14ac:dyDescent="0.3">
      <c r="A379" t="s">
        <v>20</v>
      </c>
      <c r="B379" t="s">
        <v>38</v>
      </c>
      <c r="C379" t="s">
        <v>6</v>
      </c>
      <c r="D379" t="s">
        <v>55</v>
      </c>
      <c r="E379" s="17">
        <v>257.3</v>
      </c>
      <c r="F379" s="1">
        <v>45627</v>
      </c>
    </row>
    <row r="380" spans="1:6" x14ac:dyDescent="0.3">
      <c r="A380" t="s">
        <v>11</v>
      </c>
      <c r="B380" t="s">
        <v>38</v>
      </c>
      <c r="C380" t="s">
        <v>9</v>
      </c>
      <c r="D380" t="s">
        <v>59</v>
      </c>
      <c r="E380" s="17">
        <v>7548.4999999999973</v>
      </c>
      <c r="F380" s="1">
        <v>45261</v>
      </c>
    </row>
    <row r="381" spans="1:6" x14ac:dyDescent="0.3">
      <c r="A381" t="s">
        <v>11</v>
      </c>
      <c r="B381" t="s">
        <v>38</v>
      </c>
      <c r="C381" t="s">
        <v>9</v>
      </c>
      <c r="D381" t="s">
        <v>60</v>
      </c>
      <c r="E381" s="17">
        <v>7964.2</v>
      </c>
      <c r="F381" s="1">
        <v>44896</v>
      </c>
    </row>
    <row r="382" spans="1:6" x14ac:dyDescent="0.3">
      <c r="A382" t="s">
        <v>11</v>
      </c>
      <c r="B382" t="s">
        <v>38</v>
      </c>
      <c r="C382" t="s">
        <v>9</v>
      </c>
      <c r="D382" t="s">
        <v>61</v>
      </c>
      <c r="E382" s="17">
        <v>8719.2999999999993</v>
      </c>
      <c r="F382" s="1">
        <v>44531</v>
      </c>
    </row>
    <row r="383" spans="1:6" x14ac:dyDescent="0.3">
      <c r="A383" t="s">
        <v>11</v>
      </c>
      <c r="B383" t="s">
        <v>38</v>
      </c>
      <c r="C383" t="s">
        <v>4</v>
      </c>
      <c r="D383" t="s">
        <v>59</v>
      </c>
      <c r="E383" s="17">
        <v>2818.2999999999997</v>
      </c>
      <c r="F383" s="1">
        <v>45261</v>
      </c>
    </row>
    <row r="384" spans="1:6" x14ac:dyDescent="0.3">
      <c r="A384" t="s">
        <v>11</v>
      </c>
      <c r="B384" t="s">
        <v>38</v>
      </c>
      <c r="C384" t="s">
        <v>4</v>
      </c>
      <c r="D384" t="s">
        <v>60</v>
      </c>
      <c r="E384" s="17">
        <v>2874.9000000000005</v>
      </c>
      <c r="F384" s="1">
        <v>44896</v>
      </c>
    </row>
    <row r="385" spans="1:6" x14ac:dyDescent="0.3">
      <c r="A385" t="s">
        <v>11</v>
      </c>
      <c r="B385" t="s">
        <v>38</v>
      </c>
      <c r="C385" t="s">
        <v>4</v>
      </c>
      <c r="D385" t="s">
        <v>61</v>
      </c>
      <c r="E385" s="17">
        <v>2750.4</v>
      </c>
      <c r="F385" s="1">
        <v>44531</v>
      </c>
    </row>
    <row r="386" spans="1:6" x14ac:dyDescent="0.3">
      <c r="A386" t="s">
        <v>11</v>
      </c>
      <c r="B386" t="s">
        <v>38</v>
      </c>
      <c r="C386" t="s">
        <v>6</v>
      </c>
      <c r="D386" t="s">
        <v>59</v>
      </c>
      <c r="E386" s="17">
        <v>4730.7999999999993</v>
      </c>
      <c r="F386" s="1">
        <v>45261</v>
      </c>
    </row>
    <row r="387" spans="1:6" x14ac:dyDescent="0.3">
      <c r="A387" t="s">
        <v>11</v>
      </c>
      <c r="B387" t="s">
        <v>38</v>
      </c>
      <c r="C387" t="s">
        <v>6</v>
      </c>
      <c r="D387" t="s">
        <v>60</v>
      </c>
      <c r="E387" s="17">
        <v>5089.300000000002</v>
      </c>
      <c r="F387" s="1">
        <v>44896</v>
      </c>
    </row>
    <row r="388" spans="1:6" x14ac:dyDescent="0.3">
      <c r="A388" t="s">
        <v>11</v>
      </c>
      <c r="B388" t="s">
        <v>38</v>
      </c>
      <c r="C388" t="s">
        <v>6</v>
      </c>
      <c r="D388" t="s">
        <v>61</v>
      </c>
      <c r="E388" s="17">
        <v>5968.7000000000007</v>
      </c>
      <c r="F388" s="1">
        <v>44531</v>
      </c>
    </row>
    <row r="389" spans="1:6" x14ac:dyDescent="0.3">
      <c r="A389" t="s">
        <v>11</v>
      </c>
      <c r="B389" t="s">
        <v>38</v>
      </c>
      <c r="C389" t="s">
        <v>9</v>
      </c>
      <c r="D389" t="s">
        <v>65</v>
      </c>
      <c r="E389" s="17">
        <v>421.2</v>
      </c>
      <c r="F389" s="1">
        <v>46023</v>
      </c>
    </row>
    <row r="390" spans="1:6" x14ac:dyDescent="0.3">
      <c r="A390" t="s">
        <v>11</v>
      </c>
      <c r="B390" t="s">
        <v>38</v>
      </c>
      <c r="C390" t="s">
        <v>4</v>
      </c>
      <c r="D390" t="s">
        <v>65</v>
      </c>
      <c r="E390" s="17">
        <v>269.89999999999998</v>
      </c>
      <c r="F390" s="1">
        <v>46023</v>
      </c>
    </row>
    <row r="391" spans="1:6" x14ac:dyDescent="0.3">
      <c r="A391" t="s">
        <v>11</v>
      </c>
      <c r="B391" t="s">
        <v>38</v>
      </c>
      <c r="C391" t="s">
        <v>6</v>
      </c>
      <c r="D391" t="s">
        <v>65</v>
      </c>
      <c r="E391" s="17">
        <v>151.30000000000001</v>
      </c>
      <c r="F391" s="1">
        <v>46023</v>
      </c>
    </row>
    <row r="392" spans="1:6" x14ac:dyDescent="0.3">
      <c r="A392" t="s">
        <v>3</v>
      </c>
      <c r="B392" t="s">
        <v>38</v>
      </c>
      <c r="C392" t="s">
        <v>9</v>
      </c>
      <c r="D392" t="s">
        <v>65</v>
      </c>
      <c r="E392" s="17">
        <v>0.4</v>
      </c>
      <c r="F392" s="1">
        <v>46023</v>
      </c>
    </row>
    <row r="393" spans="1:6" x14ac:dyDescent="0.3">
      <c r="A393" t="s">
        <v>19</v>
      </c>
      <c r="B393" t="s">
        <v>38</v>
      </c>
      <c r="C393" t="s">
        <v>4</v>
      </c>
      <c r="D393" t="s">
        <v>65</v>
      </c>
      <c r="E393" s="17">
        <v>6.4</v>
      </c>
      <c r="F393" s="1">
        <v>46023</v>
      </c>
    </row>
    <row r="394" spans="1:6" x14ac:dyDescent="0.3">
      <c r="A394" t="s">
        <v>8</v>
      </c>
      <c r="B394" t="s">
        <v>38</v>
      </c>
      <c r="C394" t="s">
        <v>4</v>
      </c>
      <c r="D394" t="s">
        <v>65</v>
      </c>
      <c r="E394" s="17">
        <v>12.9</v>
      </c>
      <c r="F394" s="1">
        <v>46023</v>
      </c>
    </row>
    <row r="395" spans="1:6" x14ac:dyDescent="0.3">
      <c r="A395" t="s">
        <v>23</v>
      </c>
      <c r="B395" t="s">
        <v>38</v>
      </c>
      <c r="C395" t="s">
        <v>9</v>
      </c>
      <c r="D395" t="s">
        <v>65</v>
      </c>
      <c r="E395" s="17">
        <v>13.2</v>
      </c>
      <c r="F395" s="1">
        <v>46023</v>
      </c>
    </row>
    <row r="396" spans="1:6" x14ac:dyDescent="0.3">
      <c r="A396" t="s">
        <v>22</v>
      </c>
      <c r="B396" t="s">
        <v>38</v>
      </c>
      <c r="C396" t="s">
        <v>4</v>
      </c>
      <c r="D396" t="s">
        <v>65</v>
      </c>
      <c r="E396" s="17">
        <v>11.4</v>
      </c>
      <c r="F396" s="1">
        <v>46023</v>
      </c>
    </row>
    <row r="397" spans="1:6" x14ac:dyDescent="0.3">
      <c r="A397" t="s">
        <v>17</v>
      </c>
      <c r="B397" t="s">
        <v>38</v>
      </c>
      <c r="C397" t="s">
        <v>9</v>
      </c>
      <c r="D397" t="s">
        <v>65</v>
      </c>
      <c r="E397" s="17">
        <v>0</v>
      </c>
      <c r="F397" s="1">
        <v>46023</v>
      </c>
    </row>
    <row r="398" spans="1:6" x14ac:dyDescent="0.3">
      <c r="A398" t="s">
        <v>21</v>
      </c>
      <c r="B398" t="s">
        <v>38</v>
      </c>
      <c r="C398" t="s">
        <v>4</v>
      </c>
      <c r="D398" t="s">
        <v>65</v>
      </c>
      <c r="E398" s="17">
        <v>3.1</v>
      </c>
      <c r="F398" s="1">
        <v>46023</v>
      </c>
    </row>
    <row r="399" spans="1:6" x14ac:dyDescent="0.3">
      <c r="A399" t="s">
        <v>14</v>
      </c>
      <c r="B399" t="s">
        <v>38</v>
      </c>
      <c r="C399" t="s">
        <v>9</v>
      </c>
      <c r="D399" t="s">
        <v>65</v>
      </c>
      <c r="E399" s="17">
        <v>0.6</v>
      </c>
      <c r="F399" s="1">
        <v>46023</v>
      </c>
    </row>
    <row r="400" spans="1:6" x14ac:dyDescent="0.3">
      <c r="A400" t="s">
        <v>13</v>
      </c>
      <c r="B400" t="s">
        <v>38</v>
      </c>
      <c r="C400" t="s">
        <v>4</v>
      </c>
      <c r="D400" t="s">
        <v>65</v>
      </c>
      <c r="E400" s="17">
        <v>0.1</v>
      </c>
      <c r="F400" s="1">
        <v>46023</v>
      </c>
    </row>
    <row r="401" spans="1:6" x14ac:dyDescent="0.3">
      <c r="A401" t="s">
        <v>13</v>
      </c>
      <c r="B401" t="s">
        <v>38</v>
      </c>
      <c r="C401" t="s">
        <v>9</v>
      </c>
      <c r="D401" t="s">
        <v>65</v>
      </c>
      <c r="E401" s="17">
        <v>6.9</v>
      </c>
      <c r="F401" s="1">
        <v>46023</v>
      </c>
    </row>
    <row r="402" spans="1:6" x14ac:dyDescent="0.3">
      <c r="A402" t="s">
        <v>15</v>
      </c>
      <c r="B402" t="s">
        <v>38</v>
      </c>
      <c r="C402" t="s">
        <v>4</v>
      </c>
      <c r="D402" t="s">
        <v>65</v>
      </c>
      <c r="E402" s="17">
        <v>1.6</v>
      </c>
      <c r="F402" s="1">
        <v>46023</v>
      </c>
    </row>
    <row r="403" spans="1:6" x14ac:dyDescent="0.3">
      <c r="A403" t="s">
        <v>16</v>
      </c>
      <c r="B403" t="s">
        <v>38</v>
      </c>
      <c r="C403" t="s">
        <v>6</v>
      </c>
      <c r="D403" t="s">
        <v>65</v>
      </c>
      <c r="E403" s="17">
        <v>7.3</v>
      </c>
      <c r="F403" s="1">
        <v>46023</v>
      </c>
    </row>
    <row r="404" spans="1:6" x14ac:dyDescent="0.3">
      <c r="A404" t="s">
        <v>12</v>
      </c>
      <c r="B404" t="s">
        <v>38</v>
      </c>
      <c r="C404" t="s">
        <v>9</v>
      </c>
      <c r="D404" t="s">
        <v>65</v>
      </c>
      <c r="E404" s="17">
        <v>27.6</v>
      </c>
      <c r="F404" s="1">
        <v>46023</v>
      </c>
    </row>
    <row r="405" spans="1:6" x14ac:dyDescent="0.3">
      <c r="A405" t="s">
        <v>10</v>
      </c>
      <c r="B405" t="s">
        <v>38</v>
      </c>
      <c r="C405" t="s">
        <v>6</v>
      </c>
      <c r="D405" t="s">
        <v>65</v>
      </c>
      <c r="E405" s="17">
        <v>16.2</v>
      </c>
      <c r="F405" s="1">
        <v>46023</v>
      </c>
    </row>
    <row r="406" spans="1:6" x14ac:dyDescent="0.3">
      <c r="A406" t="s">
        <v>19</v>
      </c>
      <c r="B406" t="s">
        <v>38</v>
      </c>
      <c r="C406" t="s">
        <v>6</v>
      </c>
      <c r="D406" t="s">
        <v>65</v>
      </c>
      <c r="E406" s="17">
        <v>3.9</v>
      </c>
      <c r="F406" s="1">
        <v>46023</v>
      </c>
    </row>
    <row r="407" spans="1:6" x14ac:dyDescent="0.3">
      <c r="A407" t="s">
        <v>14</v>
      </c>
      <c r="B407" t="s">
        <v>38</v>
      </c>
      <c r="C407" t="s">
        <v>4</v>
      </c>
      <c r="D407" t="s">
        <v>65</v>
      </c>
      <c r="E407" s="17">
        <v>0.2</v>
      </c>
      <c r="F407" s="1">
        <v>46023</v>
      </c>
    </row>
    <row r="408" spans="1:6" x14ac:dyDescent="0.3">
      <c r="A408" t="s">
        <v>8</v>
      </c>
      <c r="B408" t="s">
        <v>38</v>
      </c>
      <c r="C408" t="s">
        <v>6</v>
      </c>
      <c r="D408" t="s">
        <v>65</v>
      </c>
      <c r="E408" s="17">
        <v>9.1999999999999993</v>
      </c>
      <c r="F408" s="1">
        <v>46023</v>
      </c>
    </row>
    <row r="409" spans="1:6" x14ac:dyDescent="0.3">
      <c r="A409" t="s">
        <v>20</v>
      </c>
      <c r="B409" t="s">
        <v>38</v>
      </c>
      <c r="C409" t="s">
        <v>4</v>
      </c>
      <c r="D409" t="s">
        <v>65</v>
      </c>
      <c r="E409" s="17">
        <v>1.6</v>
      </c>
      <c r="F409" s="1">
        <v>46023</v>
      </c>
    </row>
    <row r="410" spans="1:6" x14ac:dyDescent="0.3">
      <c r="A410" t="s">
        <v>15</v>
      </c>
      <c r="B410" t="s">
        <v>38</v>
      </c>
      <c r="C410" t="s">
        <v>6</v>
      </c>
      <c r="D410" t="s">
        <v>65</v>
      </c>
      <c r="E410" s="17">
        <v>7.3</v>
      </c>
      <c r="F410" s="1">
        <v>46023</v>
      </c>
    </row>
    <row r="411" spans="1:6" x14ac:dyDescent="0.3">
      <c r="A411" t="s">
        <v>15</v>
      </c>
      <c r="B411" t="s">
        <v>38</v>
      </c>
      <c r="C411" t="s">
        <v>9</v>
      </c>
      <c r="D411" t="s">
        <v>65</v>
      </c>
      <c r="E411" s="17">
        <v>8.9</v>
      </c>
      <c r="F411" s="1">
        <v>46023</v>
      </c>
    </row>
    <row r="412" spans="1:6" x14ac:dyDescent="0.3">
      <c r="A412" t="s">
        <v>14</v>
      </c>
      <c r="B412" t="s">
        <v>38</v>
      </c>
      <c r="C412" t="s">
        <v>6</v>
      </c>
      <c r="D412" t="s">
        <v>65</v>
      </c>
      <c r="E412" s="17">
        <v>0.4</v>
      </c>
      <c r="F412" s="1">
        <v>46023</v>
      </c>
    </row>
    <row r="413" spans="1:6" x14ac:dyDescent="0.3">
      <c r="A413" t="s">
        <v>21</v>
      </c>
      <c r="B413" t="s">
        <v>38</v>
      </c>
      <c r="C413" t="s">
        <v>9</v>
      </c>
      <c r="D413" t="s">
        <v>65</v>
      </c>
      <c r="E413" s="17">
        <v>8.8000000000000007</v>
      </c>
      <c r="F413" s="1">
        <v>46023</v>
      </c>
    </row>
    <row r="414" spans="1:6" x14ac:dyDescent="0.3">
      <c r="A414" t="s">
        <v>23</v>
      </c>
      <c r="B414" t="s">
        <v>38</v>
      </c>
      <c r="C414" t="s">
        <v>4</v>
      </c>
      <c r="D414" t="s">
        <v>65</v>
      </c>
      <c r="E414" s="17">
        <v>6.3</v>
      </c>
      <c r="F414" s="1">
        <v>46023</v>
      </c>
    </row>
    <row r="415" spans="1:6" x14ac:dyDescent="0.3">
      <c r="A415" t="s">
        <v>16</v>
      </c>
      <c r="B415" t="s">
        <v>38</v>
      </c>
      <c r="C415" t="s">
        <v>4</v>
      </c>
      <c r="D415" t="s">
        <v>65</v>
      </c>
      <c r="E415" s="17">
        <v>6.4</v>
      </c>
      <c r="F415" s="1">
        <v>46023</v>
      </c>
    </row>
    <row r="416" spans="1:6" x14ac:dyDescent="0.3">
      <c r="A416" t="s">
        <v>10</v>
      </c>
      <c r="B416" t="s">
        <v>38</v>
      </c>
      <c r="C416" t="s">
        <v>4</v>
      </c>
      <c r="D416" t="s">
        <v>65</v>
      </c>
      <c r="E416" s="17">
        <v>24.6</v>
      </c>
      <c r="F416" s="1">
        <v>46023</v>
      </c>
    </row>
    <row r="417" spans="1:6" x14ac:dyDescent="0.3">
      <c r="A417" t="s">
        <v>22</v>
      </c>
      <c r="B417" t="s">
        <v>38</v>
      </c>
      <c r="C417" t="s">
        <v>9</v>
      </c>
      <c r="D417" t="s">
        <v>65</v>
      </c>
      <c r="E417" s="17">
        <v>15.1</v>
      </c>
      <c r="F417" s="1">
        <v>46023</v>
      </c>
    </row>
    <row r="418" spans="1:6" x14ac:dyDescent="0.3">
      <c r="A418" t="s">
        <v>5</v>
      </c>
      <c r="B418" t="s">
        <v>38</v>
      </c>
      <c r="C418" t="s">
        <v>4</v>
      </c>
      <c r="D418" t="s">
        <v>65</v>
      </c>
      <c r="E418" s="17">
        <v>4.8</v>
      </c>
      <c r="F418" s="1">
        <v>46023</v>
      </c>
    </row>
    <row r="419" spans="1:6" x14ac:dyDescent="0.3">
      <c r="A419" t="s">
        <v>5</v>
      </c>
      <c r="B419" t="s">
        <v>38</v>
      </c>
      <c r="C419" t="s">
        <v>6</v>
      </c>
      <c r="D419" t="s">
        <v>65</v>
      </c>
      <c r="E419" s="17" t="s">
        <v>63</v>
      </c>
      <c r="F419" s="1">
        <v>46023</v>
      </c>
    </row>
    <row r="420" spans="1:6" x14ac:dyDescent="0.3">
      <c r="A420" t="s">
        <v>19</v>
      </c>
      <c r="B420" t="s">
        <v>38</v>
      </c>
      <c r="C420" t="s">
        <v>9</v>
      </c>
      <c r="D420" t="s">
        <v>65</v>
      </c>
      <c r="E420" s="17">
        <v>10.3</v>
      </c>
      <c r="F420" s="1">
        <v>46023</v>
      </c>
    </row>
    <row r="421" spans="1:6" x14ac:dyDescent="0.3">
      <c r="A421" t="s">
        <v>13</v>
      </c>
      <c r="B421" t="s">
        <v>38</v>
      </c>
      <c r="C421" t="s">
        <v>6</v>
      </c>
      <c r="D421" t="s">
        <v>65</v>
      </c>
      <c r="E421" s="17">
        <v>6.8</v>
      </c>
      <c r="F421" s="1">
        <v>46023</v>
      </c>
    </row>
    <row r="422" spans="1:6" x14ac:dyDescent="0.3">
      <c r="A422" t="s">
        <v>20</v>
      </c>
      <c r="B422" t="s">
        <v>38</v>
      </c>
      <c r="C422" t="s">
        <v>9</v>
      </c>
      <c r="D422" t="s">
        <v>65</v>
      </c>
      <c r="E422" s="17">
        <v>11.7</v>
      </c>
      <c r="F422" s="1">
        <v>46023</v>
      </c>
    </row>
    <row r="423" spans="1:6" x14ac:dyDescent="0.3">
      <c r="A423" t="s">
        <v>7</v>
      </c>
      <c r="B423" t="s">
        <v>38</v>
      </c>
      <c r="C423" t="s">
        <v>9</v>
      </c>
      <c r="D423" t="s">
        <v>65</v>
      </c>
      <c r="E423" s="17">
        <v>17.3</v>
      </c>
      <c r="F423" s="1">
        <v>46023</v>
      </c>
    </row>
    <row r="424" spans="1:6" x14ac:dyDescent="0.3">
      <c r="A424" t="s">
        <v>3</v>
      </c>
      <c r="B424" t="s">
        <v>38</v>
      </c>
      <c r="C424" t="s">
        <v>6</v>
      </c>
      <c r="D424" t="s">
        <v>65</v>
      </c>
      <c r="E424" s="17">
        <v>0</v>
      </c>
      <c r="F424" s="1">
        <v>46023</v>
      </c>
    </row>
    <row r="425" spans="1:6" x14ac:dyDescent="0.3">
      <c r="A425" t="s">
        <v>20</v>
      </c>
      <c r="B425" t="s">
        <v>38</v>
      </c>
      <c r="C425" t="s">
        <v>6</v>
      </c>
      <c r="D425" t="s">
        <v>65</v>
      </c>
      <c r="E425" s="17">
        <v>10.1</v>
      </c>
      <c r="F425" s="1">
        <v>46023</v>
      </c>
    </row>
    <row r="426" spans="1:6" x14ac:dyDescent="0.3">
      <c r="A426" t="s">
        <v>17</v>
      </c>
      <c r="B426" t="s">
        <v>38</v>
      </c>
      <c r="C426" t="s">
        <v>4</v>
      </c>
      <c r="D426" t="s">
        <v>65</v>
      </c>
      <c r="E426" s="17">
        <v>0</v>
      </c>
      <c r="F426" s="1">
        <v>46023</v>
      </c>
    </row>
    <row r="427" spans="1:6" x14ac:dyDescent="0.3">
      <c r="A427" t="s">
        <v>28</v>
      </c>
      <c r="B427" t="s">
        <v>38</v>
      </c>
      <c r="C427" t="s">
        <v>9</v>
      </c>
      <c r="D427" t="s">
        <v>65</v>
      </c>
      <c r="E427" s="17" t="s">
        <v>64</v>
      </c>
      <c r="F427" s="1">
        <v>46023</v>
      </c>
    </row>
    <row r="428" spans="1:6" x14ac:dyDescent="0.3">
      <c r="A428" t="s">
        <v>12</v>
      </c>
      <c r="B428" t="s">
        <v>38</v>
      </c>
      <c r="C428" t="s">
        <v>4</v>
      </c>
      <c r="D428" t="s">
        <v>65</v>
      </c>
      <c r="E428" s="17">
        <v>22.8</v>
      </c>
      <c r="F428" s="1">
        <v>46023</v>
      </c>
    </row>
    <row r="429" spans="1:6" x14ac:dyDescent="0.3">
      <c r="A429" t="s">
        <v>17</v>
      </c>
      <c r="B429" t="s">
        <v>38</v>
      </c>
      <c r="C429" t="s">
        <v>6</v>
      </c>
      <c r="D429" t="s">
        <v>65</v>
      </c>
      <c r="E429" s="17">
        <v>0</v>
      </c>
      <c r="F429" s="1">
        <v>46023</v>
      </c>
    </row>
    <row r="430" spans="1:6" x14ac:dyDescent="0.3">
      <c r="A430" t="s">
        <v>7</v>
      </c>
      <c r="B430" t="s">
        <v>38</v>
      </c>
      <c r="C430" t="s">
        <v>6</v>
      </c>
      <c r="D430" t="s">
        <v>65</v>
      </c>
      <c r="E430" s="17">
        <v>6.7</v>
      </c>
      <c r="F430" s="1">
        <v>46023</v>
      </c>
    </row>
    <row r="431" spans="1:6" x14ac:dyDescent="0.3">
      <c r="A431" t="s">
        <v>3</v>
      </c>
      <c r="B431" t="s">
        <v>38</v>
      </c>
      <c r="C431" t="s">
        <v>4</v>
      </c>
      <c r="D431" t="s">
        <v>65</v>
      </c>
      <c r="E431" s="17">
        <v>0</v>
      </c>
      <c r="F431" s="1">
        <v>46023</v>
      </c>
    </row>
    <row r="432" spans="1:6" x14ac:dyDescent="0.3">
      <c r="A432" t="s">
        <v>16</v>
      </c>
      <c r="B432" t="s">
        <v>38</v>
      </c>
      <c r="C432" t="s">
        <v>9</v>
      </c>
      <c r="D432" t="s">
        <v>65</v>
      </c>
      <c r="E432" s="17">
        <v>13.7</v>
      </c>
      <c r="F432" s="1">
        <v>46023</v>
      </c>
    </row>
    <row r="433" spans="1:6" x14ac:dyDescent="0.3">
      <c r="A433" t="s">
        <v>8</v>
      </c>
      <c r="B433" t="s">
        <v>38</v>
      </c>
      <c r="C433" t="s">
        <v>9</v>
      </c>
      <c r="D433" t="s">
        <v>65</v>
      </c>
      <c r="E433" s="17">
        <v>22.1</v>
      </c>
      <c r="F433" s="1">
        <v>46023</v>
      </c>
    </row>
    <row r="434" spans="1:6" x14ac:dyDescent="0.3">
      <c r="A434" t="s">
        <v>18</v>
      </c>
      <c r="B434" t="s">
        <v>38</v>
      </c>
      <c r="C434" t="s">
        <v>6</v>
      </c>
      <c r="D434" t="s">
        <v>65</v>
      </c>
      <c r="E434" s="17">
        <v>9.6</v>
      </c>
      <c r="F434" s="1">
        <v>46023</v>
      </c>
    </row>
    <row r="435" spans="1:6" x14ac:dyDescent="0.3">
      <c r="A435" t="s">
        <v>23</v>
      </c>
      <c r="B435" t="s">
        <v>38</v>
      </c>
      <c r="C435" t="s">
        <v>6</v>
      </c>
      <c r="D435" t="s">
        <v>65</v>
      </c>
      <c r="E435" s="17">
        <v>6.9</v>
      </c>
      <c r="F435" s="1">
        <v>46023</v>
      </c>
    </row>
    <row r="436" spans="1:6" x14ac:dyDescent="0.3">
      <c r="A436" t="s">
        <v>7</v>
      </c>
      <c r="B436" t="s">
        <v>38</v>
      </c>
      <c r="C436" t="s">
        <v>4</v>
      </c>
      <c r="D436" t="s">
        <v>65</v>
      </c>
      <c r="E436" s="17">
        <v>10.6</v>
      </c>
      <c r="F436" s="1">
        <v>46023</v>
      </c>
    </row>
    <row r="437" spans="1:6" x14ac:dyDescent="0.3">
      <c r="A437" t="s">
        <v>18</v>
      </c>
      <c r="B437" t="s">
        <v>38</v>
      </c>
      <c r="C437" t="s">
        <v>9</v>
      </c>
      <c r="D437" t="s">
        <v>65</v>
      </c>
      <c r="E437" s="17">
        <v>49.5</v>
      </c>
      <c r="F437" s="1">
        <v>46023</v>
      </c>
    </row>
    <row r="438" spans="1:6" x14ac:dyDescent="0.3">
      <c r="A438" t="s">
        <v>5</v>
      </c>
      <c r="B438" t="s">
        <v>38</v>
      </c>
      <c r="C438" t="s">
        <v>9</v>
      </c>
      <c r="D438" t="s">
        <v>65</v>
      </c>
      <c r="E438" s="17">
        <v>10.8</v>
      </c>
      <c r="F438" s="1">
        <v>46023</v>
      </c>
    </row>
    <row r="439" spans="1:6" x14ac:dyDescent="0.3">
      <c r="A439" t="s">
        <v>12</v>
      </c>
      <c r="B439" t="s">
        <v>38</v>
      </c>
      <c r="C439" t="s">
        <v>6</v>
      </c>
      <c r="D439" t="s">
        <v>65</v>
      </c>
      <c r="E439" s="17">
        <v>4.8</v>
      </c>
      <c r="F439" s="1">
        <v>46023</v>
      </c>
    </row>
    <row r="440" spans="1:6" x14ac:dyDescent="0.3">
      <c r="A440" t="s">
        <v>22</v>
      </c>
      <c r="B440" t="s">
        <v>38</v>
      </c>
      <c r="C440" t="s">
        <v>6</v>
      </c>
      <c r="D440" t="s">
        <v>65</v>
      </c>
      <c r="E440" s="17">
        <v>3.7</v>
      </c>
      <c r="F440" s="1">
        <v>46023</v>
      </c>
    </row>
    <row r="441" spans="1:6" x14ac:dyDescent="0.3">
      <c r="A441" t="s">
        <v>18</v>
      </c>
      <c r="B441" t="s">
        <v>38</v>
      </c>
      <c r="C441" t="s">
        <v>4</v>
      </c>
      <c r="D441" t="s">
        <v>65</v>
      </c>
      <c r="E441" s="17">
        <v>39.9</v>
      </c>
      <c r="F441" s="1">
        <v>46023</v>
      </c>
    </row>
    <row r="442" spans="1:6" x14ac:dyDescent="0.3">
      <c r="A442" t="s">
        <v>21</v>
      </c>
      <c r="B442" t="s">
        <v>38</v>
      </c>
      <c r="C442" t="s">
        <v>6</v>
      </c>
      <c r="D442" t="s">
        <v>65</v>
      </c>
      <c r="E442" s="17">
        <v>5.7</v>
      </c>
      <c r="F442" s="1">
        <v>46023</v>
      </c>
    </row>
    <row r="443" spans="1:6" x14ac:dyDescent="0.3">
      <c r="A443" t="s">
        <v>10</v>
      </c>
      <c r="B443" t="s">
        <v>38</v>
      </c>
      <c r="C443" t="s">
        <v>9</v>
      </c>
      <c r="D443" t="s">
        <v>65</v>
      </c>
      <c r="E443" s="17">
        <v>40.799999999999997</v>
      </c>
      <c r="F443" s="1">
        <v>46023</v>
      </c>
    </row>
    <row r="444" spans="1:6" x14ac:dyDescent="0.3">
      <c r="A444" t="s">
        <v>30</v>
      </c>
      <c r="B444" t="s">
        <v>38</v>
      </c>
      <c r="C444" t="s">
        <v>6</v>
      </c>
      <c r="D444" t="s">
        <v>65</v>
      </c>
      <c r="E444" s="17">
        <v>5.2</v>
      </c>
      <c r="F444" s="1">
        <v>46023</v>
      </c>
    </row>
    <row r="445" spans="1:6" x14ac:dyDescent="0.3">
      <c r="A445" t="s">
        <v>28</v>
      </c>
      <c r="B445" t="s">
        <v>38</v>
      </c>
      <c r="C445" t="s">
        <v>4</v>
      </c>
      <c r="D445" t="s">
        <v>65</v>
      </c>
      <c r="E445" s="17">
        <v>19.2</v>
      </c>
      <c r="F445" s="1">
        <v>46023</v>
      </c>
    </row>
    <row r="446" spans="1:6" x14ac:dyDescent="0.3">
      <c r="A446" t="s">
        <v>24</v>
      </c>
      <c r="B446" t="s">
        <v>38</v>
      </c>
      <c r="C446" t="s">
        <v>4</v>
      </c>
      <c r="D446" t="s">
        <v>65</v>
      </c>
      <c r="E446" s="17">
        <v>0</v>
      </c>
      <c r="F446" s="1">
        <v>46023</v>
      </c>
    </row>
    <row r="447" spans="1:6" x14ac:dyDescent="0.3">
      <c r="A447" t="s">
        <v>25</v>
      </c>
      <c r="B447" t="s">
        <v>38</v>
      </c>
      <c r="C447" t="s">
        <v>4</v>
      </c>
      <c r="D447" t="s">
        <v>65</v>
      </c>
      <c r="E447" s="17">
        <v>0.6</v>
      </c>
      <c r="F447" s="1">
        <v>46023</v>
      </c>
    </row>
    <row r="448" spans="1:6" x14ac:dyDescent="0.3">
      <c r="A448" t="s">
        <v>29</v>
      </c>
      <c r="B448" t="s">
        <v>38</v>
      </c>
      <c r="C448" t="s">
        <v>9</v>
      </c>
      <c r="D448" t="s">
        <v>65</v>
      </c>
      <c r="E448" s="17">
        <v>19.2</v>
      </c>
      <c r="F448" s="1">
        <v>46023</v>
      </c>
    </row>
    <row r="449" spans="1:6" x14ac:dyDescent="0.3">
      <c r="A449" t="s">
        <v>24</v>
      </c>
      <c r="B449" t="s">
        <v>38</v>
      </c>
      <c r="C449" t="s">
        <v>6</v>
      </c>
      <c r="D449" t="s">
        <v>65</v>
      </c>
      <c r="E449" s="17">
        <v>0</v>
      </c>
      <c r="F449" s="1">
        <v>46023</v>
      </c>
    </row>
    <row r="450" spans="1:6" x14ac:dyDescent="0.3">
      <c r="A450" t="s">
        <v>26</v>
      </c>
      <c r="B450" t="s">
        <v>38</v>
      </c>
      <c r="C450" t="s">
        <v>9</v>
      </c>
      <c r="D450" t="s">
        <v>65</v>
      </c>
      <c r="E450" s="17">
        <v>38.1</v>
      </c>
      <c r="F450" s="1">
        <v>46023</v>
      </c>
    </row>
    <row r="451" spans="1:6" x14ac:dyDescent="0.3">
      <c r="A451" t="s">
        <v>27</v>
      </c>
      <c r="B451" t="s">
        <v>38</v>
      </c>
      <c r="C451" t="s">
        <v>6</v>
      </c>
      <c r="D451" t="s">
        <v>65</v>
      </c>
      <c r="E451" s="17">
        <v>15.7</v>
      </c>
      <c r="F451" s="1">
        <v>46023</v>
      </c>
    </row>
    <row r="452" spans="1:6" x14ac:dyDescent="0.3">
      <c r="A452" t="s">
        <v>28</v>
      </c>
      <c r="B452" t="s">
        <v>38</v>
      </c>
      <c r="C452" t="s">
        <v>6</v>
      </c>
      <c r="D452" t="s">
        <v>65</v>
      </c>
      <c r="E452" s="17">
        <v>4.8</v>
      </c>
      <c r="F452" s="1">
        <v>46023</v>
      </c>
    </row>
    <row r="453" spans="1:6" x14ac:dyDescent="0.3">
      <c r="A453" t="s">
        <v>24</v>
      </c>
      <c r="B453" t="s">
        <v>38</v>
      </c>
      <c r="C453" t="s">
        <v>9</v>
      </c>
      <c r="D453" t="s">
        <v>65</v>
      </c>
      <c r="E453" s="17">
        <v>4.8</v>
      </c>
      <c r="F453" s="1">
        <v>46023</v>
      </c>
    </row>
    <row r="454" spans="1:6" x14ac:dyDescent="0.3">
      <c r="A454" t="s">
        <v>27</v>
      </c>
      <c r="B454" t="s">
        <v>38</v>
      </c>
      <c r="C454" t="s">
        <v>9</v>
      </c>
      <c r="D454" t="s">
        <v>65</v>
      </c>
      <c r="E454" s="17">
        <v>41.4</v>
      </c>
      <c r="F454" s="1">
        <v>46023</v>
      </c>
    </row>
    <row r="455" spans="1:6" x14ac:dyDescent="0.3">
      <c r="A455" t="s">
        <v>30</v>
      </c>
      <c r="B455" t="s">
        <v>38</v>
      </c>
      <c r="C455" t="s">
        <v>9</v>
      </c>
      <c r="D455" t="s">
        <v>65</v>
      </c>
      <c r="E455" s="17">
        <v>29.8</v>
      </c>
      <c r="F455" s="1">
        <v>46023</v>
      </c>
    </row>
    <row r="456" spans="1:6" x14ac:dyDescent="0.3">
      <c r="A456" t="s">
        <v>25</v>
      </c>
      <c r="B456" t="s">
        <v>38</v>
      </c>
      <c r="C456" t="s">
        <v>6</v>
      </c>
      <c r="D456" t="s">
        <v>65</v>
      </c>
      <c r="E456" s="17">
        <v>5.6</v>
      </c>
      <c r="F456" s="1">
        <v>46023</v>
      </c>
    </row>
    <row r="457" spans="1:6" x14ac:dyDescent="0.3">
      <c r="A457" t="s">
        <v>29</v>
      </c>
      <c r="B457" t="s">
        <v>38</v>
      </c>
      <c r="C457" t="s">
        <v>6</v>
      </c>
      <c r="D457" t="s">
        <v>65</v>
      </c>
      <c r="E457" s="17">
        <v>6</v>
      </c>
      <c r="F457" s="1">
        <v>46023</v>
      </c>
    </row>
    <row r="458" spans="1:6" x14ac:dyDescent="0.3">
      <c r="A458" t="s">
        <v>30</v>
      </c>
      <c r="B458" t="s">
        <v>38</v>
      </c>
      <c r="C458" t="s">
        <v>4</v>
      </c>
      <c r="D458" t="s">
        <v>65</v>
      </c>
      <c r="E458" s="17">
        <v>24.6</v>
      </c>
      <c r="F458" s="1">
        <v>46023</v>
      </c>
    </row>
    <row r="459" spans="1:6" x14ac:dyDescent="0.3">
      <c r="A459" t="s">
        <v>26</v>
      </c>
      <c r="B459" t="s">
        <v>38</v>
      </c>
      <c r="C459" t="s">
        <v>6</v>
      </c>
      <c r="D459" t="s">
        <v>65</v>
      </c>
      <c r="E459" s="17">
        <v>4.3</v>
      </c>
      <c r="F459" s="1">
        <v>46023</v>
      </c>
    </row>
    <row r="460" spans="1:6" x14ac:dyDescent="0.3">
      <c r="A460" t="s">
        <v>27</v>
      </c>
      <c r="B460" t="s">
        <v>38</v>
      </c>
      <c r="C460" t="s">
        <v>4</v>
      </c>
      <c r="D460" t="s">
        <v>65</v>
      </c>
      <c r="E460" s="17">
        <v>25.7</v>
      </c>
      <c r="F460" s="1">
        <v>46023</v>
      </c>
    </row>
    <row r="461" spans="1:6" x14ac:dyDescent="0.3">
      <c r="A461" t="s">
        <v>26</v>
      </c>
      <c r="B461" t="s">
        <v>38</v>
      </c>
      <c r="C461" t="s">
        <v>4</v>
      </c>
      <c r="D461" t="s">
        <v>65</v>
      </c>
      <c r="E461" s="17">
        <v>33.799999999999997</v>
      </c>
      <c r="F461" s="1">
        <v>46023</v>
      </c>
    </row>
    <row r="462" spans="1:6" x14ac:dyDescent="0.3">
      <c r="A462" t="s">
        <v>29</v>
      </c>
      <c r="B462" t="s">
        <v>38</v>
      </c>
      <c r="C462" t="s">
        <v>4</v>
      </c>
      <c r="D462" t="s">
        <v>65</v>
      </c>
      <c r="E462" s="17">
        <v>13.2</v>
      </c>
      <c r="F462" s="1">
        <v>46023</v>
      </c>
    </row>
    <row r="463" spans="1:6" x14ac:dyDescent="0.3">
      <c r="A463" t="s">
        <v>25</v>
      </c>
      <c r="B463" t="s">
        <v>38</v>
      </c>
      <c r="C463" t="s">
        <v>9</v>
      </c>
      <c r="D463" t="s">
        <v>65</v>
      </c>
      <c r="E463" s="17">
        <v>6.2</v>
      </c>
      <c r="F463" s="1">
        <v>46023</v>
      </c>
    </row>
    <row r="464" spans="1:6" x14ac:dyDescent="0.3">
      <c r="A464" t="s">
        <v>11</v>
      </c>
      <c r="B464" t="s">
        <v>38</v>
      </c>
      <c r="C464" t="s">
        <v>9</v>
      </c>
      <c r="D464" t="s">
        <v>62</v>
      </c>
      <c r="E464" s="17">
        <v>452.7</v>
      </c>
      <c r="F464" s="1">
        <v>45658</v>
      </c>
    </row>
    <row r="465" spans="1:6" x14ac:dyDescent="0.3">
      <c r="A465" t="s">
        <v>11</v>
      </c>
      <c r="B465" t="s">
        <v>38</v>
      </c>
      <c r="C465" t="s">
        <v>4</v>
      </c>
      <c r="D465" t="s">
        <v>62</v>
      </c>
      <c r="E465" s="17">
        <v>259.5</v>
      </c>
      <c r="F465" s="1">
        <v>45658</v>
      </c>
    </row>
    <row r="466" spans="1:6" x14ac:dyDescent="0.3">
      <c r="A466" t="s">
        <v>11</v>
      </c>
      <c r="B466" t="s">
        <v>38</v>
      </c>
      <c r="C466" t="s">
        <v>6</v>
      </c>
      <c r="D466" t="s">
        <v>62</v>
      </c>
      <c r="E466" s="17">
        <v>193.2</v>
      </c>
      <c r="F466" s="1">
        <v>45658</v>
      </c>
    </row>
    <row r="467" spans="1:6" x14ac:dyDescent="0.3">
      <c r="A467" t="s">
        <v>10</v>
      </c>
      <c r="B467" t="s">
        <v>38</v>
      </c>
      <c r="C467" t="s">
        <v>9</v>
      </c>
      <c r="D467" t="s">
        <v>62</v>
      </c>
      <c r="E467" s="17">
        <v>42.2</v>
      </c>
      <c r="F467" s="1">
        <v>45658</v>
      </c>
    </row>
    <row r="468" spans="1:6" x14ac:dyDescent="0.3">
      <c r="A468" t="s">
        <v>7</v>
      </c>
      <c r="B468" t="s">
        <v>38</v>
      </c>
      <c r="C468" t="s">
        <v>9</v>
      </c>
      <c r="D468" t="s">
        <v>62</v>
      </c>
      <c r="E468" s="17">
        <v>18.399999999999999</v>
      </c>
      <c r="F468" s="1">
        <v>45658</v>
      </c>
    </row>
    <row r="469" spans="1:6" x14ac:dyDescent="0.3">
      <c r="A469" t="s">
        <v>5</v>
      </c>
      <c r="B469" t="s">
        <v>38</v>
      </c>
      <c r="C469" t="s">
        <v>9</v>
      </c>
      <c r="D469" t="s">
        <v>62</v>
      </c>
      <c r="E469" s="17">
        <v>11.9</v>
      </c>
      <c r="F469" s="1">
        <v>45658</v>
      </c>
    </row>
    <row r="470" spans="1:6" x14ac:dyDescent="0.3">
      <c r="A470" t="s">
        <v>3</v>
      </c>
      <c r="B470" t="s">
        <v>38</v>
      </c>
      <c r="C470" t="s">
        <v>9</v>
      </c>
      <c r="D470" t="s">
        <v>62</v>
      </c>
      <c r="E470" s="17">
        <v>1.1000000000000001</v>
      </c>
      <c r="F470" s="1">
        <v>45658</v>
      </c>
    </row>
    <row r="471" spans="1:6" x14ac:dyDescent="0.3">
      <c r="A471" t="s">
        <v>8</v>
      </c>
      <c r="B471" t="s">
        <v>38</v>
      </c>
      <c r="C471" t="s">
        <v>9</v>
      </c>
      <c r="D471" t="s">
        <v>62</v>
      </c>
      <c r="E471" s="17">
        <v>26</v>
      </c>
      <c r="F471" s="1">
        <v>45658</v>
      </c>
    </row>
    <row r="472" spans="1:6" x14ac:dyDescent="0.3">
      <c r="A472" t="s">
        <v>13</v>
      </c>
      <c r="B472" t="s">
        <v>38</v>
      </c>
      <c r="C472" t="s">
        <v>9</v>
      </c>
      <c r="D472" t="s">
        <v>62</v>
      </c>
      <c r="E472" s="17">
        <v>13.799999999999999</v>
      </c>
      <c r="F472" s="1">
        <v>45658</v>
      </c>
    </row>
    <row r="473" spans="1:6" x14ac:dyDescent="0.3">
      <c r="A473" t="s">
        <v>14</v>
      </c>
      <c r="B473" t="s">
        <v>38</v>
      </c>
      <c r="C473" t="s">
        <v>9</v>
      </c>
      <c r="D473" t="s">
        <v>62</v>
      </c>
      <c r="E473" s="17">
        <v>1</v>
      </c>
      <c r="F473" s="1">
        <v>45658</v>
      </c>
    </row>
    <row r="474" spans="1:6" x14ac:dyDescent="0.3">
      <c r="A474" t="s">
        <v>15</v>
      </c>
      <c r="B474" t="s">
        <v>38</v>
      </c>
      <c r="C474" t="s">
        <v>9</v>
      </c>
      <c r="D474" t="s">
        <v>62</v>
      </c>
      <c r="E474" s="17">
        <v>10.5</v>
      </c>
      <c r="F474" s="1">
        <v>45658</v>
      </c>
    </row>
    <row r="475" spans="1:6" x14ac:dyDescent="0.3">
      <c r="A475" t="s">
        <v>12</v>
      </c>
      <c r="B475" t="s">
        <v>38</v>
      </c>
      <c r="C475" t="s">
        <v>9</v>
      </c>
      <c r="D475" t="s">
        <v>62</v>
      </c>
      <c r="E475" s="17">
        <v>26.9</v>
      </c>
      <c r="F475" s="1">
        <v>45658</v>
      </c>
    </row>
    <row r="476" spans="1:6" x14ac:dyDescent="0.3">
      <c r="A476" t="s">
        <v>16</v>
      </c>
      <c r="B476" t="s">
        <v>38</v>
      </c>
      <c r="C476" t="s">
        <v>9</v>
      </c>
      <c r="D476" t="s">
        <v>62</v>
      </c>
      <c r="E476" s="17">
        <v>14.7</v>
      </c>
      <c r="F476" s="1">
        <v>45658</v>
      </c>
    </row>
    <row r="477" spans="1:6" x14ac:dyDescent="0.3">
      <c r="A477" t="s">
        <v>17</v>
      </c>
      <c r="B477" t="s">
        <v>38</v>
      </c>
      <c r="C477" t="s">
        <v>9</v>
      </c>
      <c r="D477" t="s">
        <v>62</v>
      </c>
      <c r="E477" s="17">
        <v>1.7</v>
      </c>
      <c r="F477" s="1">
        <v>45658</v>
      </c>
    </row>
    <row r="478" spans="1:6" x14ac:dyDescent="0.3">
      <c r="A478" t="s">
        <v>21</v>
      </c>
      <c r="B478" t="s">
        <v>38</v>
      </c>
      <c r="C478" t="s">
        <v>9</v>
      </c>
      <c r="D478" t="s">
        <v>62</v>
      </c>
      <c r="E478" s="17">
        <v>10.5</v>
      </c>
      <c r="F478" s="1">
        <v>45658</v>
      </c>
    </row>
    <row r="479" spans="1:6" x14ac:dyDescent="0.3">
      <c r="A479" t="s">
        <v>19</v>
      </c>
      <c r="B479" t="s">
        <v>38</v>
      </c>
      <c r="C479" t="s">
        <v>9</v>
      </c>
      <c r="D479" t="s">
        <v>62</v>
      </c>
      <c r="E479" s="17">
        <v>10.7</v>
      </c>
      <c r="F479" s="1">
        <v>45658</v>
      </c>
    </row>
    <row r="480" spans="1:6" x14ac:dyDescent="0.3">
      <c r="A480" t="s">
        <v>20</v>
      </c>
      <c r="B480" t="s">
        <v>38</v>
      </c>
      <c r="C480" t="s">
        <v>9</v>
      </c>
      <c r="D480" t="s">
        <v>62</v>
      </c>
      <c r="E480" s="17">
        <v>12.100000000000001</v>
      </c>
      <c r="F480" s="1">
        <v>45658</v>
      </c>
    </row>
    <row r="481" spans="1:6" x14ac:dyDescent="0.3">
      <c r="A481" t="s">
        <v>18</v>
      </c>
      <c r="B481" t="s">
        <v>38</v>
      </c>
      <c r="C481" t="s">
        <v>9</v>
      </c>
      <c r="D481" t="s">
        <v>62</v>
      </c>
      <c r="E481" s="17">
        <v>51.400000000000006</v>
      </c>
      <c r="F481" s="1">
        <v>45658</v>
      </c>
    </row>
    <row r="482" spans="1:6" x14ac:dyDescent="0.3">
      <c r="A482" t="s">
        <v>23</v>
      </c>
      <c r="B482" t="s">
        <v>38</v>
      </c>
      <c r="C482" t="s">
        <v>9</v>
      </c>
      <c r="D482" t="s">
        <v>62</v>
      </c>
      <c r="E482" s="17">
        <v>14</v>
      </c>
      <c r="F482" s="1">
        <v>45658</v>
      </c>
    </row>
    <row r="483" spans="1:6" x14ac:dyDescent="0.3">
      <c r="A483" t="s">
        <v>22</v>
      </c>
      <c r="B483" t="s">
        <v>38</v>
      </c>
      <c r="C483" t="s">
        <v>9</v>
      </c>
      <c r="D483" t="s">
        <v>62</v>
      </c>
      <c r="E483" s="17">
        <v>17.5</v>
      </c>
      <c r="F483" s="1">
        <v>45658</v>
      </c>
    </row>
    <row r="484" spans="1:6" x14ac:dyDescent="0.3">
      <c r="A484" t="s">
        <v>28</v>
      </c>
      <c r="B484" t="s">
        <v>38</v>
      </c>
      <c r="C484" t="s">
        <v>9</v>
      </c>
      <c r="D484" t="s">
        <v>62</v>
      </c>
      <c r="E484" s="17">
        <v>26.6</v>
      </c>
      <c r="F484" s="1">
        <v>45658</v>
      </c>
    </row>
    <row r="485" spans="1:6" x14ac:dyDescent="0.3">
      <c r="A485" t="s">
        <v>66</v>
      </c>
      <c r="B485" t="s">
        <v>38</v>
      </c>
      <c r="C485" t="s">
        <v>9</v>
      </c>
      <c r="D485" t="s">
        <v>62</v>
      </c>
      <c r="E485" s="17">
        <v>17.5</v>
      </c>
      <c r="F485" s="1">
        <v>45658</v>
      </c>
    </row>
    <row r="486" spans="1:6" x14ac:dyDescent="0.3">
      <c r="A486" t="s">
        <v>67</v>
      </c>
      <c r="B486" t="s">
        <v>38</v>
      </c>
      <c r="C486" t="s">
        <v>9</v>
      </c>
      <c r="D486" t="s">
        <v>62</v>
      </c>
      <c r="E486" s="17">
        <v>5.0999999999999996</v>
      </c>
      <c r="F486" s="1">
        <v>45658</v>
      </c>
    </row>
    <row r="487" spans="1:6" x14ac:dyDescent="0.3">
      <c r="A487" t="s">
        <v>27</v>
      </c>
      <c r="B487" t="s">
        <v>38</v>
      </c>
      <c r="C487" t="s">
        <v>9</v>
      </c>
      <c r="D487" t="s">
        <v>62</v>
      </c>
      <c r="E487" s="17">
        <v>43</v>
      </c>
      <c r="F487" s="1">
        <v>45658</v>
      </c>
    </row>
    <row r="488" spans="1:6" x14ac:dyDescent="0.3">
      <c r="A488" t="s">
        <v>26</v>
      </c>
      <c r="B488" t="s">
        <v>38</v>
      </c>
      <c r="C488" t="s">
        <v>9</v>
      </c>
      <c r="D488" t="s">
        <v>62</v>
      </c>
      <c r="E488" s="17">
        <v>37.700000000000003</v>
      </c>
      <c r="F488" s="1">
        <v>45658</v>
      </c>
    </row>
    <row r="489" spans="1:6" x14ac:dyDescent="0.3">
      <c r="A489" t="s">
        <v>25</v>
      </c>
      <c r="B489" t="s">
        <v>38</v>
      </c>
      <c r="C489" t="s">
        <v>9</v>
      </c>
      <c r="D489" t="s">
        <v>62</v>
      </c>
      <c r="E489" s="17">
        <v>9.2000000000000011</v>
      </c>
      <c r="F489" s="1">
        <v>45658</v>
      </c>
    </row>
    <row r="490" spans="1:6" x14ac:dyDescent="0.3">
      <c r="A490" t="s">
        <v>30</v>
      </c>
      <c r="B490" t="s">
        <v>38</v>
      </c>
      <c r="C490" t="s">
        <v>9</v>
      </c>
      <c r="D490" t="s">
        <v>62</v>
      </c>
      <c r="E490" s="17">
        <v>29.200000000000003</v>
      </c>
      <c r="F490" s="1">
        <v>45658</v>
      </c>
    </row>
    <row r="491" spans="1:6" x14ac:dyDescent="0.3">
      <c r="A491" t="s">
        <v>10</v>
      </c>
      <c r="B491" t="s">
        <v>38</v>
      </c>
      <c r="C491" t="s">
        <v>4</v>
      </c>
      <c r="D491" t="s">
        <v>62</v>
      </c>
      <c r="E491" s="17">
        <v>23.9</v>
      </c>
      <c r="F491" s="1">
        <v>45658</v>
      </c>
    </row>
    <row r="492" spans="1:6" x14ac:dyDescent="0.3">
      <c r="A492" t="s">
        <v>7</v>
      </c>
      <c r="B492" t="s">
        <v>38</v>
      </c>
      <c r="C492" t="s">
        <v>4</v>
      </c>
      <c r="D492" t="s">
        <v>62</v>
      </c>
      <c r="E492" s="17">
        <v>9.6999999999999993</v>
      </c>
      <c r="F492" s="1">
        <v>45658</v>
      </c>
    </row>
    <row r="493" spans="1:6" x14ac:dyDescent="0.3">
      <c r="A493" t="s">
        <v>5</v>
      </c>
      <c r="B493" t="s">
        <v>38</v>
      </c>
      <c r="C493" t="s">
        <v>4</v>
      </c>
      <c r="D493" t="s">
        <v>62</v>
      </c>
      <c r="E493" s="17">
        <v>5.4</v>
      </c>
      <c r="F493" s="1">
        <v>45658</v>
      </c>
    </row>
    <row r="494" spans="1:6" x14ac:dyDescent="0.3">
      <c r="A494" t="s">
        <v>3</v>
      </c>
      <c r="B494" t="s">
        <v>38</v>
      </c>
      <c r="C494" t="s">
        <v>4</v>
      </c>
      <c r="D494" t="s">
        <v>62</v>
      </c>
      <c r="E494" s="17">
        <v>0</v>
      </c>
      <c r="F494" s="1">
        <v>45658</v>
      </c>
    </row>
    <row r="495" spans="1:6" x14ac:dyDescent="0.3">
      <c r="A495" t="s">
        <v>8</v>
      </c>
      <c r="B495" t="s">
        <v>38</v>
      </c>
      <c r="C495" t="s">
        <v>4</v>
      </c>
      <c r="D495" t="s">
        <v>62</v>
      </c>
      <c r="E495" s="17">
        <v>12</v>
      </c>
      <c r="F495" s="1">
        <v>45658</v>
      </c>
    </row>
    <row r="496" spans="1:6" x14ac:dyDescent="0.3">
      <c r="A496" t="s">
        <v>13</v>
      </c>
      <c r="B496" t="s">
        <v>38</v>
      </c>
      <c r="C496" t="s">
        <v>4</v>
      </c>
      <c r="D496" t="s">
        <v>62</v>
      </c>
      <c r="E496" s="17">
        <v>0.1</v>
      </c>
      <c r="F496" s="1">
        <v>45658</v>
      </c>
    </row>
    <row r="497" spans="1:6" x14ac:dyDescent="0.3">
      <c r="A497" t="s">
        <v>14</v>
      </c>
      <c r="B497" t="s">
        <v>38</v>
      </c>
      <c r="C497" t="s">
        <v>4</v>
      </c>
      <c r="D497" t="s">
        <v>62</v>
      </c>
      <c r="E497" s="17">
        <v>0.3</v>
      </c>
      <c r="F497" s="1">
        <v>45658</v>
      </c>
    </row>
    <row r="498" spans="1:6" x14ac:dyDescent="0.3">
      <c r="A498" t="s">
        <v>15</v>
      </c>
      <c r="B498" t="s">
        <v>38</v>
      </c>
      <c r="C498" t="s">
        <v>4</v>
      </c>
      <c r="D498" t="s">
        <v>62</v>
      </c>
      <c r="E498" s="17">
        <v>1.4</v>
      </c>
      <c r="F498" s="1">
        <v>45658</v>
      </c>
    </row>
    <row r="499" spans="1:6" x14ac:dyDescent="0.3">
      <c r="A499" t="s">
        <v>12</v>
      </c>
      <c r="B499" t="s">
        <v>38</v>
      </c>
      <c r="C499" t="s">
        <v>4</v>
      </c>
      <c r="D499" t="s">
        <v>62</v>
      </c>
      <c r="E499" s="17">
        <v>21.8</v>
      </c>
      <c r="F499" s="1">
        <v>45658</v>
      </c>
    </row>
    <row r="500" spans="1:6" x14ac:dyDescent="0.3">
      <c r="A500" t="s">
        <v>16</v>
      </c>
      <c r="B500" t="s">
        <v>38</v>
      </c>
      <c r="C500" t="s">
        <v>4</v>
      </c>
      <c r="D500" t="s">
        <v>62</v>
      </c>
      <c r="E500" s="17">
        <v>6.6</v>
      </c>
      <c r="F500" s="1">
        <v>45658</v>
      </c>
    </row>
    <row r="501" spans="1:6" x14ac:dyDescent="0.3">
      <c r="A501" t="s">
        <v>17</v>
      </c>
      <c r="B501" t="s">
        <v>38</v>
      </c>
      <c r="C501" t="s">
        <v>4</v>
      </c>
      <c r="D501" t="s">
        <v>62</v>
      </c>
      <c r="E501" s="17">
        <v>0</v>
      </c>
      <c r="F501" s="1">
        <v>45658</v>
      </c>
    </row>
    <row r="502" spans="1:6" x14ac:dyDescent="0.3">
      <c r="A502" t="s">
        <v>21</v>
      </c>
      <c r="B502" t="s">
        <v>38</v>
      </c>
      <c r="C502" t="s">
        <v>4</v>
      </c>
      <c r="D502" t="s">
        <v>62</v>
      </c>
      <c r="E502" s="17">
        <v>2.7</v>
      </c>
      <c r="F502" s="1">
        <v>45658</v>
      </c>
    </row>
    <row r="503" spans="1:6" x14ac:dyDescent="0.3">
      <c r="A503" t="s">
        <v>19</v>
      </c>
      <c r="B503" t="s">
        <v>38</v>
      </c>
      <c r="C503" t="s">
        <v>4</v>
      </c>
      <c r="D503" t="s">
        <v>62</v>
      </c>
      <c r="E503" s="17">
        <v>6.2</v>
      </c>
      <c r="F503" s="1">
        <v>45658</v>
      </c>
    </row>
    <row r="504" spans="1:6" x14ac:dyDescent="0.3">
      <c r="A504" t="s">
        <v>20</v>
      </c>
      <c r="B504" t="s">
        <v>38</v>
      </c>
      <c r="C504" t="s">
        <v>4</v>
      </c>
      <c r="D504" t="s">
        <v>62</v>
      </c>
      <c r="E504" s="17">
        <v>1.8</v>
      </c>
      <c r="F504" s="1">
        <v>45658</v>
      </c>
    </row>
    <row r="505" spans="1:6" x14ac:dyDescent="0.3">
      <c r="A505" t="s">
        <v>18</v>
      </c>
      <c r="B505" t="s">
        <v>38</v>
      </c>
      <c r="C505" t="s">
        <v>4</v>
      </c>
      <c r="D505" t="s">
        <v>62</v>
      </c>
      <c r="E505" s="17">
        <v>39.6</v>
      </c>
      <c r="F505" s="1">
        <v>45658</v>
      </c>
    </row>
    <row r="506" spans="1:6" x14ac:dyDescent="0.3">
      <c r="A506" t="s">
        <v>23</v>
      </c>
      <c r="B506" t="s">
        <v>38</v>
      </c>
      <c r="C506" t="s">
        <v>4</v>
      </c>
      <c r="D506" t="s">
        <v>62</v>
      </c>
      <c r="E506" s="17">
        <v>5</v>
      </c>
      <c r="F506" s="1">
        <v>45658</v>
      </c>
    </row>
    <row r="507" spans="1:6" x14ac:dyDescent="0.3">
      <c r="A507" t="s">
        <v>22</v>
      </c>
      <c r="B507" t="s">
        <v>38</v>
      </c>
      <c r="C507" t="s">
        <v>4</v>
      </c>
      <c r="D507" t="s">
        <v>62</v>
      </c>
      <c r="E507" s="17">
        <v>12.4</v>
      </c>
      <c r="F507" s="1">
        <v>45658</v>
      </c>
    </row>
    <row r="508" spans="1:6" x14ac:dyDescent="0.3">
      <c r="A508" t="s">
        <v>28</v>
      </c>
      <c r="B508" t="s">
        <v>38</v>
      </c>
      <c r="C508" t="s">
        <v>4</v>
      </c>
      <c r="D508" t="s">
        <v>62</v>
      </c>
      <c r="E508" s="17">
        <v>17.2</v>
      </c>
      <c r="F508" s="1">
        <v>45658</v>
      </c>
    </row>
    <row r="509" spans="1:6" x14ac:dyDescent="0.3">
      <c r="A509" t="s">
        <v>66</v>
      </c>
      <c r="B509" t="s">
        <v>38</v>
      </c>
      <c r="C509" t="s">
        <v>4</v>
      </c>
      <c r="D509" t="s">
        <v>62</v>
      </c>
      <c r="E509" s="17">
        <v>11.4</v>
      </c>
      <c r="F509" s="1">
        <v>45658</v>
      </c>
    </row>
    <row r="510" spans="1:6" x14ac:dyDescent="0.3">
      <c r="A510" t="s">
        <v>67</v>
      </c>
      <c r="B510" t="s">
        <v>38</v>
      </c>
      <c r="C510" t="s">
        <v>4</v>
      </c>
      <c r="D510" t="s">
        <v>62</v>
      </c>
      <c r="E510" s="17">
        <v>0</v>
      </c>
      <c r="F510" s="1">
        <v>45658</v>
      </c>
    </row>
    <row r="511" spans="1:6" x14ac:dyDescent="0.3">
      <c r="A511" t="s">
        <v>27</v>
      </c>
      <c r="B511" t="s">
        <v>38</v>
      </c>
      <c r="C511" t="s">
        <v>4</v>
      </c>
      <c r="D511" t="s">
        <v>62</v>
      </c>
      <c r="E511" s="17">
        <v>24.5</v>
      </c>
      <c r="F511" s="1">
        <v>45658</v>
      </c>
    </row>
    <row r="512" spans="1:6" x14ac:dyDescent="0.3">
      <c r="A512" t="s">
        <v>26</v>
      </c>
      <c r="B512" t="s">
        <v>38</v>
      </c>
      <c r="C512" t="s">
        <v>4</v>
      </c>
      <c r="D512" t="s">
        <v>62</v>
      </c>
      <c r="E512" s="17">
        <v>32.700000000000003</v>
      </c>
      <c r="F512" s="1">
        <v>45658</v>
      </c>
    </row>
    <row r="513" spans="1:6" x14ac:dyDescent="0.3">
      <c r="A513" t="s">
        <v>25</v>
      </c>
      <c r="B513" t="s">
        <v>38</v>
      </c>
      <c r="C513" t="s">
        <v>4</v>
      </c>
      <c r="D513" t="s">
        <v>62</v>
      </c>
      <c r="E513" s="17">
        <v>0.8</v>
      </c>
      <c r="F513" s="1">
        <v>45658</v>
      </c>
    </row>
    <row r="514" spans="1:6" x14ac:dyDescent="0.3">
      <c r="A514" t="s">
        <v>30</v>
      </c>
      <c r="B514" t="s">
        <v>38</v>
      </c>
      <c r="C514" t="s">
        <v>4</v>
      </c>
      <c r="D514" t="s">
        <v>62</v>
      </c>
      <c r="E514" s="17">
        <v>23.8</v>
      </c>
      <c r="F514" s="1">
        <v>45658</v>
      </c>
    </row>
    <row r="515" spans="1:6" x14ac:dyDescent="0.3">
      <c r="A515" t="s">
        <v>10</v>
      </c>
      <c r="B515" t="s">
        <v>38</v>
      </c>
      <c r="C515" t="s">
        <v>6</v>
      </c>
      <c r="D515" t="s">
        <v>62</v>
      </c>
      <c r="E515" s="17">
        <v>18.3</v>
      </c>
      <c r="F515" s="1">
        <v>45658</v>
      </c>
    </row>
    <row r="516" spans="1:6" x14ac:dyDescent="0.3">
      <c r="A516" t="s">
        <v>7</v>
      </c>
      <c r="B516" t="s">
        <v>38</v>
      </c>
      <c r="C516" t="s">
        <v>6</v>
      </c>
      <c r="D516" t="s">
        <v>62</v>
      </c>
      <c r="E516" s="17">
        <v>8.6999999999999993</v>
      </c>
      <c r="F516" s="1">
        <v>45658</v>
      </c>
    </row>
    <row r="517" spans="1:6" x14ac:dyDescent="0.3">
      <c r="A517" t="s">
        <v>5</v>
      </c>
      <c r="B517" t="s">
        <v>38</v>
      </c>
      <c r="C517" t="s">
        <v>6</v>
      </c>
      <c r="D517" t="s">
        <v>62</v>
      </c>
      <c r="E517" s="17">
        <v>6.5</v>
      </c>
      <c r="F517" s="1">
        <v>45658</v>
      </c>
    </row>
    <row r="518" spans="1:6" x14ac:dyDescent="0.3">
      <c r="A518" t="s">
        <v>3</v>
      </c>
      <c r="B518" t="s">
        <v>38</v>
      </c>
      <c r="C518" t="s">
        <v>6</v>
      </c>
      <c r="D518" t="s">
        <v>62</v>
      </c>
      <c r="E518" s="17">
        <v>0</v>
      </c>
      <c r="F518" s="1">
        <v>45658</v>
      </c>
    </row>
    <row r="519" spans="1:6" x14ac:dyDescent="0.3">
      <c r="A519" t="s">
        <v>8</v>
      </c>
      <c r="B519" t="s">
        <v>38</v>
      </c>
      <c r="C519" t="s">
        <v>6</v>
      </c>
      <c r="D519" t="s">
        <v>62</v>
      </c>
      <c r="E519" s="17">
        <v>14</v>
      </c>
      <c r="F519" s="1">
        <v>45658</v>
      </c>
    </row>
    <row r="520" spans="1:6" x14ac:dyDescent="0.3">
      <c r="A520" t="s">
        <v>13</v>
      </c>
      <c r="B520" t="s">
        <v>38</v>
      </c>
      <c r="C520" t="s">
        <v>6</v>
      </c>
      <c r="D520" t="s">
        <v>62</v>
      </c>
      <c r="E520" s="17">
        <v>13.7</v>
      </c>
      <c r="F520" s="1">
        <v>45658</v>
      </c>
    </row>
    <row r="521" spans="1:6" x14ac:dyDescent="0.3">
      <c r="A521" t="s">
        <v>14</v>
      </c>
      <c r="B521" t="s">
        <v>38</v>
      </c>
      <c r="C521" t="s">
        <v>6</v>
      </c>
      <c r="D521" t="s">
        <v>62</v>
      </c>
      <c r="E521" s="17">
        <v>0.7</v>
      </c>
      <c r="F521" s="1">
        <v>45658</v>
      </c>
    </row>
    <row r="522" spans="1:6" x14ac:dyDescent="0.3">
      <c r="A522" t="s">
        <v>15</v>
      </c>
      <c r="B522" t="s">
        <v>38</v>
      </c>
      <c r="C522" t="s">
        <v>6</v>
      </c>
      <c r="D522" t="s">
        <v>62</v>
      </c>
      <c r="E522" s="17">
        <v>9.1</v>
      </c>
      <c r="F522" s="1">
        <v>45658</v>
      </c>
    </row>
    <row r="523" spans="1:6" x14ac:dyDescent="0.3">
      <c r="A523" t="s">
        <v>12</v>
      </c>
      <c r="B523" t="s">
        <v>38</v>
      </c>
      <c r="C523" t="s">
        <v>6</v>
      </c>
      <c r="D523" t="s">
        <v>62</v>
      </c>
      <c r="E523" s="17">
        <v>5.0999999999999996</v>
      </c>
      <c r="F523" s="1">
        <v>45658</v>
      </c>
    </row>
    <row r="524" spans="1:6" x14ac:dyDescent="0.3">
      <c r="A524" t="s">
        <v>16</v>
      </c>
      <c r="B524" t="s">
        <v>38</v>
      </c>
      <c r="C524" t="s">
        <v>6</v>
      </c>
      <c r="D524" t="s">
        <v>62</v>
      </c>
      <c r="E524" s="17">
        <v>8.1</v>
      </c>
      <c r="F524" s="1">
        <v>45658</v>
      </c>
    </row>
    <row r="525" spans="1:6" x14ac:dyDescent="0.3">
      <c r="A525" t="s">
        <v>17</v>
      </c>
      <c r="B525" t="s">
        <v>38</v>
      </c>
      <c r="C525" t="s">
        <v>6</v>
      </c>
      <c r="D525" t="s">
        <v>62</v>
      </c>
      <c r="E525" s="17">
        <v>0</v>
      </c>
      <c r="F525" s="1">
        <v>45658</v>
      </c>
    </row>
    <row r="526" spans="1:6" x14ac:dyDescent="0.3">
      <c r="A526" t="s">
        <v>21</v>
      </c>
      <c r="B526" t="s">
        <v>38</v>
      </c>
      <c r="C526" t="s">
        <v>6</v>
      </c>
      <c r="D526" t="s">
        <v>62</v>
      </c>
      <c r="E526" s="17">
        <v>7.8</v>
      </c>
      <c r="F526" s="1">
        <v>45658</v>
      </c>
    </row>
    <row r="527" spans="1:6" x14ac:dyDescent="0.3">
      <c r="A527" t="s">
        <v>19</v>
      </c>
      <c r="B527" t="s">
        <v>38</v>
      </c>
      <c r="C527" t="s">
        <v>6</v>
      </c>
      <c r="D527" t="s">
        <v>62</v>
      </c>
      <c r="E527" s="17">
        <v>4.5</v>
      </c>
      <c r="F527" s="1">
        <v>45658</v>
      </c>
    </row>
    <row r="528" spans="1:6" x14ac:dyDescent="0.3">
      <c r="A528" t="s">
        <v>20</v>
      </c>
      <c r="B528" t="s">
        <v>38</v>
      </c>
      <c r="C528" t="s">
        <v>6</v>
      </c>
      <c r="D528" t="s">
        <v>62</v>
      </c>
      <c r="E528" s="17">
        <v>10.3</v>
      </c>
      <c r="F528" s="1">
        <v>45658</v>
      </c>
    </row>
    <row r="529" spans="1:6" x14ac:dyDescent="0.3">
      <c r="A529" t="s">
        <v>18</v>
      </c>
      <c r="B529" t="s">
        <v>38</v>
      </c>
      <c r="C529" t="s">
        <v>6</v>
      </c>
      <c r="D529" t="s">
        <v>62</v>
      </c>
      <c r="E529" s="17">
        <v>11.8</v>
      </c>
      <c r="F529" s="1">
        <v>45658</v>
      </c>
    </row>
    <row r="530" spans="1:6" x14ac:dyDescent="0.3">
      <c r="A530" t="s">
        <v>23</v>
      </c>
      <c r="B530" t="s">
        <v>38</v>
      </c>
      <c r="C530" t="s">
        <v>6</v>
      </c>
      <c r="D530" t="s">
        <v>62</v>
      </c>
      <c r="E530" s="17">
        <v>9</v>
      </c>
      <c r="F530" s="1">
        <v>45658</v>
      </c>
    </row>
    <row r="531" spans="1:6" x14ac:dyDescent="0.3">
      <c r="A531" t="s">
        <v>22</v>
      </c>
      <c r="B531" t="s">
        <v>38</v>
      </c>
      <c r="C531" t="s">
        <v>6</v>
      </c>
      <c r="D531" t="s">
        <v>62</v>
      </c>
      <c r="E531" s="17">
        <v>5.0999999999999996</v>
      </c>
      <c r="F531" s="1">
        <v>45658</v>
      </c>
    </row>
    <row r="532" spans="1:6" x14ac:dyDescent="0.3">
      <c r="A532" t="s">
        <v>28</v>
      </c>
      <c r="B532" t="s">
        <v>38</v>
      </c>
      <c r="C532" t="s">
        <v>6</v>
      </c>
      <c r="D532" t="s">
        <v>62</v>
      </c>
      <c r="E532" s="17">
        <v>9.4</v>
      </c>
      <c r="F532" s="1">
        <v>45658</v>
      </c>
    </row>
    <row r="533" spans="1:6" x14ac:dyDescent="0.3">
      <c r="A533" t="s">
        <v>66</v>
      </c>
      <c r="B533" t="s">
        <v>38</v>
      </c>
      <c r="C533" t="s">
        <v>6</v>
      </c>
      <c r="D533" t="s">
        <v>62</v>
      </c>
      <c r="E533" s="17">
        <v>6.1</v>
      </c>
      <c r="F533" s="1">
        <v>45658</v>
      </c>
    </row>
    <row r="534" spans="1:6" x14ac:dyDescent="0.3">
      <c r="A534" t="s">
        <v>67</v>
      </c>
      <c r="B534" t="s">
        <v>38</v>
      </c>
      <c r="C534" t="s">
        <v>6</v>
      </c>
      <c r="D534" t="s">
        <v>62</v>
      </c>
      <c r="E534" s="17">
        <v>0</v>
      </c>
      <c r="F534" s="1">
        <v>45658</v>
      </c>
    </row>
    <row r="535" spans="1:6" x14ac:dyDescent="0.3">
      <c r="A535" t="s">
        <v>27</v>
      </c>
      <c r="B535" t="s">
        <v>38</v>
      </c>
      <c r="C535" t="s">
        <v>6</v>
      </c>
      <c r="D535" t="s">
        <v>62</v>
      </c>
      <c r="E535" s="17">
        <v>18.5</v>
      </c>
      <c r="F535" s="1">
        <v>45658</v>
      </c>
    </row>
    <row r="536" spans="1:6" x14ac:dyDescent="0.3">
      <c r="A536" t="s">
        <v>26</v>
      </c>
      <c r="B536" t="s">
        <v>38</v>
      </c>
      <c r="C536" t="s">
        <v>6</v>
      </c>
      <c r="D536" t="s">
        <v>62</v>
      </c>
      <c r="E536" s="17">
        <v>5</v>
      </c>
      <c r="F536" s="1">
        <v>45658</v>
      </c>
    </row>
    <row r="537" spans="1:6" x14ac:dyDescent="0.3">
      <c r="A537" t="s">
        <v>25</v>
      </c>
      <c r="B537" t="s">
        <v>38</v>
      </c>
      <c r="C537" t="s">
        <v>6</v>
      </c>
      <c r="D537" t="s">
        <v>62</v>
      </c>
      <c r="E537" s="17">
        <v>8.4</v>
      </c>
      <c r="F537" s="1">
        <v>45658</v>
      </c>
    </row>
    <row r="538" spans="1:6" x14ac:dyDescent="0.3">
      <c r="A538" t="s">
        <v>30</v>
      </c>
      <c r="B538" t="s">
        <v>38</v>
      </c>
      <c r="C538" t="s">
        <v>6</v>
      </c>
      <c r="D538" t="s">
        <v>62</v>
      </c>
      <c r="E538" s="17">
        <v>5.4</v>
      </c>
      <c r="F538" s="1">
        <v>45658</v>
      </c>
    </row>
    <row r="539" spans="1:6" x14ac:dyDescent="0.3">
      <c r="A539" t="s">
        <v>11</v>
      </c>
      <c r="B539" t="s">
        <v>38</v>
      </c>
      <c r="C539" t="s">
        <v>9</v>
      </c>
      <c r="D539" t="s">
        <v>71</v>
      </c>
      <c r="E539" s="17">
        <v>891.39999999999986</v>
      </c>
      <c r="F539" s="1">
        <v>45689</v>
      </c>
    </row>
    <row r="540" spans="1:6" x14ac:dyDescent="0.3">
      <c r="A540" t="s">
        <v>10</v>
      </c>
      <c r="B540" t="s">
        <v>38</v>
      </c>
      <c r="C540" t="s">
        <v>9</v>
      </c>
      <c r="D540" t="s">
        <v>71</v>
      </c>
      <c r="E540" s="17">
        <v>78.400000000000006</v>
      </c>
      <c r="F540" s="1">
        <v>45689</v>
      </c>
    </row>
    <row r="541" spans="1:6" x14ac:dyDescent="0.3">
      <c r="A541" t="s">
        <v>7</v>
      </c>
      <c r="B541" t="s">
        <v>38</v>
      </c>
      <c r="C541" t="s">
        <v>9</v>
      </c>
      <c r="D541" t="s">
        <v>71</v>
      </c>
      <c r="E541" s="17">
        <v>36.200000000000003</v>
      </c>
      <c r="F541" s="1">
        <v>45689</v>
      </c>
    </row>
    <row r="542" spans="1:6" x14ac:dyDescent="0.3">
      <c r="A542" t="s">
        <v>5</v>
      </c>
      <c r="B542" t="s">
        <v>38</v>
      </c>
      <c r="C542" t="s">
        <v>9</v>
      </c>
      <c r="D542" t="s">
        <v>71</v>
      </c>
      <c r="E542" s="17">
        <v>22.1</v>
      </c>
      <c r="F542" s="1">
        <v>45689</v>
      </c>
    </row>
    <row r="543" spans="1:6" x14ac:dyDescent="0.3">
      <c r="A543" t="s">
        <v>3</v>
      </c>
      <c r="B543" t="s">
        <v>38</v>
      </c>
      <c r="C543" t="s">
        <v>9</v>
      </c>
      <c r="D543" t="s">
        <v>71</v>
      </c>
      <c r="E543" s="17">
        <v>1.9000000000000001</v>
      </c>
      <c r="F543" s="1">
        <v>45689</v>
      </c>
    </row>
    <row r="544" spans="1:6" x14ac:dyDescent="0.3">
      <c r="A544" t="s">
        <v>8</v>
      </c>
      <c r="B544" t="s">
        <v>38</v>
      </c>
      <c r="C544" t="s">
        <v>9</v>
      </c>
      <c r="D544" t="s">
        <v>71</v>
      </c>
      <c r="E544" s="17">
        <v>54</v>
      </c>
      <c r="F544" s="1">
        <v>45689</v>
      </c>
    </row>
    <row r="545" spans="1:6" x14ac:dyDescent="0.3">
      <c r="A545" t="s">
        <v>13</v>
      </c>
      <c r="B545" t="s">
        <v>38</v>
      </c>
      <c r="C545" t="s">
        <v>9</v>
      </c>
      <c r="D545" t="s">
        <v>71</v>
      </c>
      <c r="E545" s="17">
        <v>31.200000000000003</v>
      </c>
      <c r="F545" s="1">
        <v>45689</v>
      </c>
    </row>
    <row r="546" spans="1:6" x14ac:dyDescent="0.3">
      <c r="A546" t="s">
        <v>14</v>
      </c>
      <c r="B546" t="s">
        <v>38</v>
      </c>
      <c r="C546" t="s">
        <v>9</v>
      </c>
      <c r="D546" t="s">
        <v>71</v>
      </c>
      <c r="E546" s="17">
        <v>2.1</v>
      </c>
      <c r="F546" s="1">
        <v>45689</v>
      </c>
    </row>
    <row r="547" spans="1:6" x14ac:dyDescent="0.3">
      <c r="A547" t="s">
        <v>15</v>
      </c>
      <c r="B547" t="s">
        <v>38</v>
      </c>
      <c r="C547" t="s">
        <v>9</v>
      </c>
      <c r="D547" t="s">
        <v>71</v>
      </c>
      <c r="E547" s="17">
        <v>21.7</v>
      </c>
      <c r="F547" s="1">
        <v>45689</v>
      </c>
    </row>
    <row r="548" spans="1:6" x14ac:dyDescent="0.3">
      <c r="A548" t="s">
        <v>12</v>
      </c>
      <c r="B548" t="s">
        <v>38</v>
      </c>
      <c r="C548" t="s">
        <v>9</v>
      </c>
      <c r="D548" t="s">
        <v>71</v>
      </c>
      <c r="E548" s="17">
        <v>52.400000000000006</v>
      </c>
      <c r="F548" s="1">
        <v>45689</v>
      </c>
    </row>
    <row r="549" spans="1:6" x14ac:dyDescent="0.3">
      <c r="A549" t="s">
        <v>16</v>
      </c>
      <c r="B549" t="s">
        <v>38</v>
      </c>
      <c r="C549" t="s">
        <v>9</v>
      </c>
      <c r="D549" t="s">
        <v>71</v>
      </c>
      <c r="E549" s="17">
        <v>29.299999999999997</v>
      </c>
      <c r="F549" s="1">
        <v>45689</v>
      </c>
    </row>
    <row r="550" spans="1:6" x14ac:dyDescent="0.3">
      <c r="A550" t="s">
        <v>17</v>
      </c>
      <c r="B550" t="s">
        <v>38</v>
      </c>
      <c r="C550" t="s">
        <v>9</v>
      </c>
      <c r="D550" t="s">
        <v>71</v>
      </c>
      <c r="E550" s="17">
        <v>3.5</v>
      </c>
      <c r="F550" s="1">
        <v>45689</v>
      </c>
    </row>
    <row r="551" spans="1:6" x14ac:dyDescent="0.3">
      <c r="A551" t="s">
        <v>21</v>
      </c>
      <c r="B551" t="s">
        <v>38</v>
      </c>
      <c r="C551" t="s">
        <v>9</v>
      </c>
      <c r="D551" t="s">
        <v>71</v>
      </c>
      <c r="E551" s="17">
        <v>25.5</v>
      </c>
      <c r="F551" s="1">
        <v>45689</v>
      </c>
    </row>
    <row r="552" spans="1:6" x14ac:dyDescent="0.3">
      <c r="A552" t="s">
        <v>19</v>
      </c>
      <c r="B552" t="s">
        <v>38</v>
      </c>
      <c r="C552" t="s">
        <v>9</v>
      </c>
      <c r="D552" t="s">
        <v>71</v>
      </c>
      <c r="E552" s="17">
        <v>21.8</v>
      </c>
      <c r="F552" s="1">
        <v>45689</v>
      </c>
    </row>
    <row r="553" spans="1:6" x14ac:dyDescent="0.3">
      <c r="A553" t="s">
        <v>20</v>
      </c>
      <c r="B553" t="s">
        <v>38</v>
      </c>
      <c r="C553" t="s">
        <v>9</v>
      </c>
      <c r="D553" t="s">
        <v>71</v>
      </c>
      <c r="E553" s="17">
        <v>24.2</v>
      </c>
      <c r="F553" s="1">
        <v>45689</v>
      </c>
    </row>
    <row r="554" spans="1:6" x14ac:dyDescent="0.3">
      <c r="A554" t="s">
        <v>18</v>
      </c>
      <c r="B554" t="s">
        <v>38</v>
      </c>
      <c r="C554" t="s">
        <v>9</v>
      </c>
      <c r="D554" t="s">
        <v>71</v>
      </c>
      <c r="E554" s="17">
        <v>99.300000000000011</v>
      </c>
      <c r="F554" s="1">
        <v>45689</v>
      </c>
    </row>
    <row r="555" spans="1:6" x14ac:dyDescent="0.3">
      <c r="A555" t="s">
        <v>23</v>
      </c>
      <c r="B555" t="s">
        <v>38</v>
      </c>
      <c r="C555" t="s">
        <v>9</v>
      </c>
      <c r="D555" t="s">
        <v>71</v>
      </c>
      <c r="E555" s="17">
        <v>29.200000000000003</v>
      </c>
      <c r="F555" s="1">
        <v>45689</v>
      </c>
    </row>
    <row r="556" spans="1:6" x14ac:dyDescent="0.3">
      <c r="A556" t="s">
        <v>22</v>
      </c>
      <c r="B556" t="s">
        <v>38</v>
      </c>
      <c r="C556" t="s">
        <v>9</v>
      </c>
      <c r="D556" t="s">
        <v>71</v>
      </c>
      <c r="E556" s="17">
        <v>34.299999999999997</v>
      </c>
      <c r="F556" s="1">
        <v>45689</v>
      </c>
    </row>
    <row r="557" spans="1:6" x14ac:dyDescent="0.3">
      <c r="A557" t="s">
        <v>28</v>
      </c>
      <c r="B557" t="s">
        <v>38</v>
      </c>
      <c r="C557" t="s">
        <v>9</v>
      </c>
      <c r="D557" t="s">
        <v>71</v>
      </c>
      <c r="E557" s="17">
        <v>53</v>
      </c>
      <c r="F557" s="1">
        <v>45689</v>
      </c>
    </row>
    <row r="558" spans="1:6" x14ac:dyDescent="0.3">
      <c r="A558" t="s">
        <v>29</v>
      </c>
      <c r="B558" t="s">
        <v>38</v>
      </c>
      <c r="C558" t="s">
        <v>9</v>
      </c>
      <c r="D558" t="s">
        <v>71</v>
      </c>
      <c r="E558" s="17">
        <v>32.9</v>
      </c>
      <c r="F558" s="1">
        <v>45689</v>
      </c>
    </row>
    <row r="559" spans="1:6" x14ac:dyDescent="0.3">
      <c r="A559" t="s">
        <v>67</v>
      </c>
      <c r="B559" t="s">
        <v>38</v>
      </c>
      <c r="C559" t="s">
        <v>9</v>
      </c>
      <c r="D559" t="s">
        <v>71</v>
      </c>
      <c r="E559" s="17">
        <v>7.3000000000000007</v>
      </c>
      <c r="F559" s="1">
        <v>45689</v>
      </c>
    </row>
    <row r="560" spans="1:6" x14ac:dyDescent="0.3">
      <c r="A560" t="s">
        <v>27</v>
      </c>
      <c r="B560" t="s">
        <v>38</v>
      </c>
      <c r="C560" t="s">
        <v>9</v>
      </c>
      <c r="D560" t="s">
        <v>71</v>
      </c>
      <c r="E560" s="17">
        <v>86.4</v>
      </c>
      <c r="F560" s="1">
        <v>45689</v>
      </c>
    </row>
    <row r="561" spans="1:6" x14ac:dyDescent="0.3">
      <c r="A561" t="s">
        <v>26</v>
      </c>
      <c r="B561" t="s">
        <v>38</v>
      </c>
      <c r="C561" t="s">
        <v>9</v>
      </c>
      <c r="D561" t="s">
        <v>71</v>
      </c>
      <c r="E561" s="17">
        <v>70.900000000000006</v>
      </c>
      <c r="F561" s="1">
        <v>45689</v>
      </c>
    </row>
    <row r="562" spans="1:6" x14ac:dyDescent="0.3">
      <c r="A562" t="s">
        <v>25</v>
      </c>
      <c r="B562" t="s">
        <v>38</v>
      </c>
      <c r="C562" t="s">
        <v>9</v>
      </c>
      <c r="D562" t="s">
        <v>71</v>
      </c>
      <c r="E562" s="17">
        <v>16.5</v>
      </c>
      <c r="F562" s="1">
        <v>45689</v>
      </c>
    </row>
    <row r="563" spans="1:6" x14ac:dyDescent="0.3">
      <c r="A563" t="s">
        <v>30</v>
      </c>
      <c r="B563" t="s">
        <v>38</v>
      </c>
      <c r="C563" t="s">
        <v>9</v>
      </c>
      <c r="D563" t="s">
        <v>71</v>
      </c>
      <c r="E563" s="17">
        <v>57.300000000000004</v>
      </c>
      <c r="F563" s="1">
        <v>45689</v>
      </c>
    </row>
    <row r="564" spans="1:6" x14ac:dyDescent="0.3">
      <c r="A564" t="s">
        <v>11</v>
      </c>
      <c r="B564" t="s">
        <v>38</v>
      </c>
      <c r="C564" t="s">
        <v>4</v>
      </c>
      <c r="D564" t="s">
        <v>71</v>
      </c>
      <c r="E564" s="17">
        <v>498.69999999999993</v>
      </c>
      <c r="F564" s="1">
        <v>45689</v>
      </c>
    </row>
    <row r="565" spans="1:6" x14ac:dyDescent="0.3">
      <c r="A565" t="s">
        <v>10</v>
      </c>
      <c r="B565" t="s">
        <v>38</v>
      </c>
      <c r="C565" t="s">
        <v>4</v>
      </c>
      <c r="D565" t="s">
        <v>71</v>
      </c>
      <c r="E565" s="17">
        <v>44.9</v>
      </c>
      <c r="F565" s="1">
        <v>45689</v>
      </c>
    </row>
    <row r="566" spans="1:6" x14ac:dyDescent="0.3">
      <c r="A566" t="s">
        <v>7</v>
      </c>
      <c r="B566" t="s">
        <v>38</v>
      </c>
      <c r="C566" t="s">
        <v>4</v>
      </c>
      <c r="D566" t="s">
        <v>71</v>
      </c>
      <c r="E566" s="17">
        <v>18.7</v>
      </c>
      <c r="F566" s="1">
        <v>45689</v>
      </c>
    </row>
    <row r="567" spans="1:6" x14ac:dyDescent="0.3">
      <c r="A567" t="s">
        <v>5</v>
      </c>
      <c r="B567" t="s">
        <v>38</v>
      </c>
      <c r="C567" t="s">
        <v>4</v>
      </c>
      <c r="D567" t="s">
        <v>71</v>
      </c>
      <c r="E567" s="17">
        <v>10.3</v>
      </c>
      <c r="F567" s="1">
        <v>45689</v>
      </c>
    </row>
    <row r="568" spans="1:6" x14ac:dyDescent="0.3">
      <c r="A568" t="s">
        <v>3</v>
      </c>
      <c r="B568" t="s">
        <v>38</v>
      </c>
      <c r="C568" t="s">
        <v>4</v>
      </c>
      <c r="D568" t="s">
        <v>71</v>
      </c>
      <c r="E568" s="17">
        <v>0</v>
      </c>
      <c r="F568" s="1">
        <v>45689</v>
      </c>
    </row>
    <row r="569" spans="1:6" x14ac:dyDescent="0.3">
      <c r="A569" t="s">
        <v>8</v>
      </c>
      <c r="B569" t="s">
        <v>38</v>
      </c>
      <c r="C569" t="s">
        <v>4</v>
      </c>
      <c r="D569" t="s">
        <v>71</v>
      </c>
      <c r="E569" s="17">
        <v>23.1</v>
      </c>
      <c r="F569" s="1">
        <v>45689</v>
      </c>
    </row>
    <row r="570" spans="1:6" x14ac:dyDescent="0.3">
      <c r="A570" t="s">
        <v>13</v>
      </c>
      <c r="B570" t="s">
        <v>38</v>
      </c>
      <c r="C570" t="s">
        <v>4</v>
      </c>
      <c r="D570" t="s">
        <v>71</v>
      </c>
      <c r="E570" s="17">
        <v>0.1</v>
      </c>
      <c r="F570" s="1">
        <v>45689</v>
      </c>
    </row>
    <row r="571" spans="1:6" x14ac:dyDescent="0.3">
      <c r="A571" t="s">
        <v>14</v>
      </c>
      <c r="B571" t="s">
        <v>38</v>
      </c>
      <c r="C571" t="s">
        <v>4</v>
      </c>
      <c r="D571" t="s">
        <v>71</v>
      </c>
      <c r="E571" s="17">
        <v>0.6</v>
      </c>
      <c r="F571" s="1">
        <v>45689</v>
      </c>
    </row>
    <row r="572" spans="1:6" x14ac:dyDescent="0.3">
      <c r="A572" t="s">
        <v>15</v>
      </c>
      <c r="B572" t="s">
        <v>38</v>
      </c>
      <c r="C572" t="s">
        <v>4</v>
      </c>
      <c r="D572" t="s">
        <v>71</v>
      </c>
      <c r="E572" s="17">
        <v>2.7</v>
      </c>
      <c r="F572" s="1">
        <v>45689</v>
      </c>
    </row>
    <row r="573" spans="1:6" x14ac:dyDescent="0.3">
      <c r="A573" t="s">
        <v>12</v>
      </c>
      <c r="B573" t="s">
        <v>38</v>
      </c>
      <c r="C573" t="s">
        <v>4</v>
      </c>
      <c r="D573" t="s">
        <v>71</v>
      </c>
      <c r="E573" s="17">
        <v>43.1</v>
      </c>
      <c r="F573" s="1">
        <v>45689</v>
      </c>
    </row>
    <row r="574" spans="1:6" x14ac:dyDescent="0.3">
      <c r="A574" t="s">
        <v>16</v>
      </c>
      <c r="B574" t="s">
        <v>38</v>
      </c>
      <c r="C574" t="s">
        <v>4</v>
      </c>
      <c r="D574" t="s">
        <v>71</v>
      </c>
      <c r="E574" s="17">
        <v>12.6</v>
      </c>
      <c r="F574" s="1">
        <v>45689</v>
      </c>
    </row>
    <row r="575" spans="1:6" x14ac:dyDescent="0.3">
      <c r="A575" t="s">
        <v>17</v>
      </c>
      <c r="B575" t="s">
        <v>38</v>
      </c>
      <c r="C575" t="s">
        <v>4</v>
      </c>
      <c r="D575" t="s">
        <v>71</v>
      </c>
      <c r="E575" s="17">
        <v>0</v>
      </c>
      <c r="F575" s="1">
        <v>45689</v>
      </c>
    </row>
    <row r="576" spans="1:6" x14ac:dyDescent="0.3">
      <c r="A576" t="s">
        <v>21</v>
      </c>
      <c r="B576" t="s">
        <v>38</v>
      </c>
      <c r="C576" t="s">
        <v>4</v>
      </c>
      <c r="D576" t="s">
        <v>71</v>
      </c>
      <c r="E576" s="17">
        <v>5.0999999999999996</v>
      </c>
      <c r="F576" s="1">
        <v>45689</v>
      </c>
    </row>
    <row r="577" spans="1:6" x14ac:dyDescent="0.3">
      <c r="A577" t="s">
        <v>19</v>
      </c>
      <c r="B577" t="s">
        <v>38</v>
      </c>
      <c r="C577" t="s">
        <v>4</v>
      </c>
      <c r="D577" t="s">
        <v>71</v>
      </c>
      <c r="E577" s="17">
        <v>11.8</v>
      </c>
      <c r="F577" s="1">
        <v>45689</v>
      </c>
    </row>
    <row r="578" spans="1:6" x14ac:dyDescent="0.3">
      <c r="A578" t="s">
        <v>20</v>
      </c>
      <c r="B578" t="s">
        <v>38</v>
      </c>
      <c r="C578" t="s">
        <v>4</v>
      </c>
      <c r="D578" t="s">
        <v>71</v>
      </c>
      <c r="E578" s="17">
        <v>3.5</v>
      </c>
      <c r="F578" s="1">
        <v>45689</v>
      </c>
    </row>
    <row r="579" spans="1:6" x14ac:dyDescent="0.3">
      <c r="A579" t="s">
        <v>18</v>
      </c>
      <c r="B579" t="s">
        <v>38</v>
      </c>
      <c r="C579" t="s">
        <v>4</v>
      </c>
      <c r="D579" t="s">
        <v>71</v>
      </c>
      <c r="E579" s="17">
        <v>76.900000000000006</v>
      </c>
      <c r="F579" s="1">
        <v>45689</v>
      </c>
    </row>
    <row r="580" spans="1:6" x14ac:dyDescent="0.3">
      <c r="A580" t="s">
        <v>23</v>
      </c>
      <c r="B580" t="s">
        <v>38</v>
      </c>
      <c r="C580" t="s">
        <v>4</v>
      </c>
      <c r="D580" t="s">
        <v>71</v>
      </c>
      <c r="E580" s="17">
        <v>9.4</v>
      </c>
      <c r="F580" s="1">
        <v>45689</v>
      </c>
    </row>
    <row r="581" spans="1:6" x14ac:dyDescent="0.3">
      <c r="A581" t="s">
        <v>22</v>
      </c>
      <c r="B581" t="s">
        <v>38</v>
      </c>
      <c r="C581" t="s">
        <v>4</v>
      </c>
      <c r="D581" t="s">
        <v>71</v>
      </c>
      <c r="E581" s="17">
        <v>24</v>
      </c>
      <c r="F581" s="1">
        <v>45689</v>
      </c>
    </row>
    <row r="582" spans="1:6" x14ac:dyDescent="0.3">
      <c r="A582" t="s">
        <v>28</v>
      </c>
      <c r="B582" t="s">
        <v>38</v>
      </c>
      <c r="C582" t="s">
        <v>4</v>
      </c>
      <c r="D582" t="s">
        <v>71</v>
      </c>
      <c r="E582" s="17">
        <v>32.4</v>
      </c>
      <c r="F582" s="1">
        <v>45689</v>
      </c>
    </row>
    <row r="583" spans="1:6" x14ac:dyDescent="0.3">
      <c r="A583" t="s">
        <v>29</v>
      </c>
      <c r="B583" t="s">
        <v>38</v>
      </c>
      <c r="C583" t="s">
        <v>4</v>
      </c>
      <c r="D583" t="s">
        <v>71</v>
      </c>
      <c r="E583" s="17">
        <v>21.7</v>
      </c>
      <c r="F583" s="1">
        <v>45689</v>
      </c>
    </row>
    <row r="584" spans="1:6" x14ac:dyDescent="0.3">
      <c r="A584" t="s">
        <v>67</v>
      </c>
      <c r="B584" t="s">
        <v>38</v>
      </c>
      <c r="C584" t="s">
        <v>4</v>
      </c>
      <c r="D584" t="s">
        <v>71</v>
      </c>
      <c r="E584" s="17">
        <v>0</v>
      </c>
      <c r="F584" s="1">
        <v>45689</v>
      </c>
    </row>
    <row r="585" spans="1:6" x14ac:dyDescent="0.3">
      <c r="A585" t="s">
        <v>27</v>
      </c>
      <c r="B585" t="s">
        <v>38</v>
      </c>
      <c r="C585" t="s">
        <v>4</v>
      </c>
      <c r="D585" t="s">
        <v>71</v>
      </c>
      <c r="E585" s="17">
        <v>48.1</v>
      </c>
      <c r="F585" s="1">
        <v>45689</v>
      </c>
    </row>
    <row r="586" spans="1:6" x14ac:dyDescent="0.3">
      <c r="A586" t="s">
        <v>26</v>
      </c>
      <c r="B586" t="s">
        <v>38</v>
      </c>
      <c r="C586" t="s">
        <v>4</v>
      </c>
      <c r="D586" t="s">
        <v>71</v>
      </c>
      <c r="E586" s="17">
        <v>62</v>
      </c>
      <c r="F586" s="1">
        <v>45689</v>
      </c>
    </row>
    <row r="587" spans="1:6" x14ac:dyDescent="0.3">
      <c r="A587" t="s">
        <v>25</v>
      </c>
      <c r="B587" t="s">
        <v>38</v>
      </c>
      <c r="C587" t="s">
        <v>4</v>
      </c>
      <c r="D587" t="s">
        <v>71</v>
      </c>
      <c r="E587" s="17">
        <v>1.5</v>
      </c>
      <c r="F587" s="1">
        <v>45689</v>
      </c>
    </row>
    <row r="588" spans="1:6" x14ac:dyDescent="0.3">
      <c r="A588" t="s">
        <v>30</v>
      </c>
      <c r="B588" t="s">
        <v>38</v>
      </c>
      <c r="C588" t="s">
        <v>4</v>
      </c>
      <c r="D588" t="s">
        <v>71</v>
      </c>
      <c r="E588" s="17">
        <v>45.7</v>
      </c>
      <c r="F588" s="1">
        <v>45689</v>
      </c>
    </row>
    <row r="589" spans="1:6" x14ac:dyDescent="0.3">
      <c r="A589" t="s">
        <v>11</v>
      </c>
      <c r="B589" t="s">
        <v>38</v>
      </c>
      <c r="C589" t="s">
        <v>6</v>
      </c>
      <c r="D589" t="s">
        <v>71</v>
      </c>
      <c r="E589" s="17">
        <v>392.7</v>
      </c>
      <c r="F589" s="1">
        <v>45689</v>
      </c>
    </row>
    <row r="590" spans="1:6" x14ac:dyDescent="0.3">
      <c r="A590" t="s">
        <v>10</v>
      </c>
      <c r="B590" t="s">
        <v>38</v>
      </c>
      <c r="C590" t="s">
        <v>6</v>
      </c>
      <c r="D590" t="s">
        <v>71</v>
      </c>
      <c r="E590" s="17">
        <v>33.5</v>
      </c>
      <c r="F590" s="1">
        <v>45689</v>
      </c>
    </row>
    <row r="591" spans="1:6" x14ac:dyDescent="0.3">
      <c r="A591" t="s">
        <v>7</v>
      </c>
      <c r="B591" t="s">
        <v>38</v>
      </c>
      <c r="C591" t="s">
        <v>6</v>
      </c>
      <c r="D591" t="s">
        <v>71</v>
      </c>
      <c r="E591" s="17">
        <v>17.5</v>
      </c>
      <c r="F591" s="1">
        <v>45689</v>
      </c>
    </row>
    <row r="592" spans="1:6" x14ac:dyDescent="0.3">
      <c r="A592" t="s">
        <v>5</v>
      </c>
      <c r="B592" t="s">
        <v>38</v>
      </c>
      <c r="C592" t="s">
        <v>6</v>
      </c>
      <c r="D592" t="s">
        <v>71</v>
      </c>
      <c r="E592" s="17">
        <v>11.8</v>
      </c>
      <c r="F592" s="1">
        <v>45689</v>
      </c>
    </row>
    <row r="593" spans="1:6" x14ac:dyDescent="0.3">
      <c r="A593" t="s">
        <v>3</v>
      </c>
      <c r="B593" t="s">
        <v>38</v>
      </c>
      <c r="C593" t="s">
        <v>6</v>
      </c>
      <c r="D593" t="s">
        <v>71</v>
      </c>
      <c r="E593" s="17">
        <v>0</v>
      </c>
      <c r="F593" s="1">
        <v>45689</v>
      </c>
    </row>
    <row r="594" spans="1:6" x14ac:dyDescent="0.3">
      <c r="A594" t="s">
        <v>8</v>
      </c>
      <c r="B594" t="s">
        <v>38</v>
      </c>
      <c r="C594" t="s">
        <v>6</v>
      </c>
      <c r="D594" t="s">
        <v>71</v>
      </c>
      <c r="E594" s="17">
        <v>30.9</v>
      </c>
      <c r="F594" s="1">
        <v>45689</v>
      </c>
    </row>
    <row r="595" spans="1:6" x14ac:dyDescent="0.3">
      <c r="A595" t="s">
        <v>13</v>
      </c>
      <c r="B595" t="s">
        <v>38</v>
      </c>
      <c r="C595" t="s">
        <v>6</v>
      </c>
      <c r="D595" t="s">
        <v>71</v>
      </c>
      <c r="E595" s="17">
        <v>31.1</v>
      </c>
      <c r="F595" s="1">
        <v>45689</v>
      </c>
    </row>
    <row r="596" spans="1:6" x14ac:dyDescent="0.3">
      <c r="A596" t="s">
        <v>14</v>
      </c>
      <c r="B596" t="s">
        <v>38</v>
      </c>
      <c r="C596" t="s">
        <v>6</v>
      </c>
      <c r="D596" t="s">
        <v>71</v>
      </c>
      <c r="E596" s="17">
        <v>1.5</v>
      </c>
      <c r="F596" s="1">
        <v>45689</v>
      </c>
    </row>
    <row r="597" spans="1:6" x14ac:dyDescent="0.3">
      <c r="A597" t="s">
        <v>15</v>
      </c>
      <c r="B597" t="s">
        <v>38</v>
      </c>
      <c r="C597" t="s">
        <v>6</v>
      </c>
      <c r="D597" t="s">
        <v>71</v>
      </c>
      <c r="E597" s="17">
        <v>19</v>
      </c>
      <c r="F597" s="1">
        <v>45689</v>
      </c>
    </row>
    <row r="598" spans="1:6" x14ac:dyDescent="0.3">
      <c r="A598" t="s">
        <v>12</v>
      </c>
      <c r="B598" t="s">
        <v>38</v>
      </c>
      <c r="C598" t="s">
        <v>6</v>
      </c>
      <c r="D598" t="s">
        <v>71</v>
      </c>
      <c r="E598" s="17">
        <v>9.3000000000000007</v>
      </c>
      <c r="F598" s="1">
        <v>45689</v>
      </c>
    </row>
    <row r="599" spans="1:6" x14ac:dyDescent="0.3">
      <c r="A599" t="s">
        <v>16</v>
      </c>
      <c r="B599" t="s">
        <v>38</v>
      </c>
      <c r="C599" t="s">
        <v>6</v>
      </c>
      <c r="D599" t="s">
        <v>71</v>
      </c>
      <c r="E599" s="17">
        <v>16.7</v>
      </c>
      <c r="F599" s="1">
        <v>45689</v>
      </c>
    </row>
    <row r="600" spans="1:6" x14ac:dyDescent="0.3">
      <c r="A600" t="s">
        <v>17</v>
      </c>
      <c r="B600" t="s">
        <v>38</v>
      </c>
      <c r="C600" t="s">
        <v>6</v>
      </c>
      <c r="D600" t="s">
        <v>71</v>
      </c>
      <c r="E600" s="17">
        <v>0</v>
      </c>
      <c r="F600" s="1">
        <v>45689</v>
      </c>
    </row>
    <row r="601" spans="1:6" x14ac:dyDescent="0.3">
      <c r="A601" t="s">
        <v>21</v>
      </c>
      <c r="B601" t="s">
        <v>38</v>
      </c>
      <c r="C601" t="s">
        <v>6</v>
      </c>
      <c r="D601" t="s">
        <v>71</v>
      </c>
      <c r="E601" s="17">
        <v>20.399999999999999</v>
      </c>
      <c r="F601" s="1">
        <v>45689</v>
      </c>
    </row>
    <row r="602" spans="1:6" x14ac:dyDescent="0.3">
      <c r="A602" t="s">
        <v>19</v>
      </c>
      <c r="B602" t="s">
        <v>38</v>
      </c>
      <c r="C602" t="s">
        <v>6</v>
      </c>
      <c r="D602" t="s">
        <v>71</v>
      </c>
      <c r="E602" s="17">
        <v>10</v>
      </c>
      <c r="F602" s="1">
        <v>45689</v>
      </c>
    </row>
    <row r="603" spans="1:6" x14ac:dyDescent="0.3">
      <c r="A603" t="s">
        <v>20</v>
      </c>
      <c r="B603" t="s">
        <v>38</v>
      </c>
      <c r="C603" t="s">
        <v>6</v>
      </c>
      <c r="D603" t="s">
        <v>71</v>
      </c>
      <c r="E603" s="17">
        <v>20.7</v>
      </c>
      <c r="F603" s="1">
        <v>45689</v>
      </c>
    </row>
    <row r="604" spans="1:6" x14ac:dyDescent="0.3">
      <c r="A604" t="s">
        <v>18</v>
      </c>
      <c r="B604" t="s">
        <v>38</v>
      </c>
      <c r="C604" t="s">
        <v>6</v>
      </c>
      <c r="D604" t="s">
        <v>71</v>
      </c>
      <c r="E604" s="17">
        <v>22.4</v>
      </c>
      <c r="F604" s="1">
        <v>45689</v>
      </c>
    </row>
    <row r="605" spans="1:6" x14ac:dyDescent="0.3">
      <c r="A605" t="s">
        <v>23</v>
      </c>
      <c r="B605" t="s">
        <v>38</v>
      </c>
      <c r="C605" t="s">
        <v>6</v>
      </c>
      <c r="D605" t="s">
        <v>71</v>
      </c>
      <c r="E605" s="17">
        <v>19.8</v>
      </c>
      <c r="F605" s="1">
        <v>45689</v>
      </c>
    </row>
    <row r="606" spans="1:6" x14ac:dyDescent="0.3">
      <c r="A606" t="s">
        <v>22</v>
      </c>
      <c r="B606" t="s">
        <v>38</v>
      </c>
      <c r="C606" t="s">
        <v>6</v>
      </c>
      <c r="D606" t="s">
        <v>71</v>
      </c>
      <c r="E606" s="17">
        <v>10.3</v>
      </c>
      <c r="F606" s="1">
        <v>45689</v>
      </c>
    </row>
    <row r="607" spans="1:6" x14ac:dyDescent="0.3">
      <c r="A607" t="s">
        <v>28</v>
      </c>
      <c r="B607" t="s">
        <v>38</v>
      </c>
      <c r="C607" t="s">
        <v>6</v>
      </c>
      <c r="D607" t="s">
        <v>71</v>
      </c>
      <c r="E607" s="17">
        <v>20.6</v>
      </c>
      <c r="F607" s="1">
        <v>45689</v>
      </c>
    </row>
    <row r="608" spans="1:6" x14ac:dyDescent="0.3">
      <c r="A608" t="s">
        <v>29</v>
      </c>
      <c r="B608" t="s">
        <v>38</v>
      </c>
      <c r="C608" t="s">
        <v>6</v>
      </c>
      <c r="D608" t="s">
        <v>71</v>
      </c>
      <c r="E608" s="17">
        <v>11.2</v>
      </c>
      <c r="F608" s="1">
        <v>45689</v>
      </c>
    </row>
    <row r="609" spans="1:6" x14ac:dyDescent="0.3">
      <c r="A609" t="s">
        <v>67</v>
      </c>
      <c r="B609" t="s">
        <v>38</v>
      </c>
      <c r="C609" t="s">
        <v>6</v>
      </c>
      <c r="D609" t="s">
        <v>71</v>
      </c>
      <c r="E609" s="17">
        <v>0</v>
      </c>
      <c r="F609" s="1">
        <v>45689</v>
      </c>
    </row>
    <row r="610" spans="1:6" x14ac:dyDescent="0.3">
      <c r="A610" t="s">
        <v>27</v>
      </c>
      <c r="B610" t="s">
        <v>38</v>
      </c>
      <c r="C610" t="s">
        <v>6</v>
      </c>
      <c r="D610" t="s">
        <v>71</v>
      </c>
      <c r="E610" s="17">
        <v>38.299999999999997</v>
      </c>
      <c r="F610" s="1">
        <v>45689</v>
      </c>
    </row>
    <row r="611" spans="1:6" x14ac:dyDescent="0.3">
      <c r="A611" t="s">
        <v>26</v>
      </c>
      <c r="B611" t="s">
        <v>38</v>
      </c>
      <c r="C611" t="s">
        <v>6</v>
      </c>
      <c r="D611" t="s">
        <v>71</v>
      </c>
      <c r="E611" s="17">
        <v>8.9</v>
      </c>
      <c r="F611" s="1">
        <v>45689</v>
      </c>
    </row>
    <row r="612" spans="1:6" x14ac:dyDescent="0.3">
      <c r="A612" t="s">
        <v>25</v>
      </c>
      <c r="B612" t="s">
        <v>38</v>
      </c>
      <c r="C612" t="s">
        <v>6</v>
      </c>
      <c r="D612" t="s">
        <v>71</v>
      </c>
      <c r="E612" s="17">
        <v>15</v>
      </c>
      <c r="F612" s="1">
        <v>45689</v>
      </c>
    </row>
    <row r="613" spans="1:6" x14ac:dyDescent="0.3">
      <c r="A613" t="s">
        <v>30</v>
      </c>
      <c r="B613" t="s">
        <v>38</v>
      </c>
      <c r="C613" t="s">
        <v>6</v>
      </c>
      <c r="D613" t="s">
        <v>71</v>
      </c>
      <c r="E613" s="17">
        <v>11.6</v>
      </c>
      <c r="F613" s="1">
        <v>45689</v>
      </c>
    </row>
    <row r="614" spans="1:6" x14ac:dyDescent="0.3">
      <c r="A614" t="s">
        <v>3</v>
      </c>
      <c r="B614" t="s">
        <v>38</v>
      </c>
      <c r="C614" t="s">
        <v>9</v>
      </c>
      <c r="D614" t="s">
        <v>70</v>
      </c>
      <c r="E614" s="17">
        <v>0.7</v>
      </c>
      <c r="F614" s="1" t="s">
        <v>69</v>
      </c>
    </row>
    <row r="615" spans="1:6" x14ac:dyDescent="0.3">
      <c r="A615" t="s">
        <v>19</v>
      </c>
      <c r="B615" t="s">
        <v>38</v>
      </c>
      <c r="C615" t="s">
        <v>4</v>
      </c>
      <c r="D615" t="s">
        <v>70</v>
      </c>
      <c r="E615" s="17">
        <v>12.4</v>
      </c>
      <c r="F615" s="1" t="s">
        <v>69</v>
      </c>
    </row>
    <row r="616" spans="1:6" x14ac:dyDescent="0.3">
      <c r="A616" t="s">
        <v>8</v>
      </c>
      <c r="B616" t="s">
        <v>38</v>
      </c>
      <c r="C616" t="s">
        <v>4</v>
      </c>
      <c r="D616" t="s">
        <v>70</v>
      </c>
      <c r="E616" s="17">
        <v>24.8</v>
      </c>
      <c r="F616" s="1" t="s">
        <v>69</v>
      </c>
    </row>
    <row r="617" spans="1:6" x14ac:dyDescent="0.3">
      <c r="A617" t="s">
        <v>23</v>
      </c>
      <c r="B617" t="s">
        <v>38</v>
      </c>
      <c r="C617" t="s">
        <v>9</v>
      </c>
      <c r="D617" t="s">
        <v>70</v>
      </c>
      <c r="E617" s="17">
        <v>27</v>
      </c>
      <c r="F617" s="1" t="s">
        <v>69</v>
      </c>
    </row>
    <row r="618" spans="1:6" x14ac:dyDescent="0.3">
      <c r="A618" t="s">
        <v>22</v>
      </c>
      <c r="B618" t="s">
        <v>38</v>
      </c>
      <c r="C618" t="s">
        <v>4</v>
      </c>
      <c r="D618" t="s">
        <v>70</v>
      </c>
      <c r="E618" s="17">
        <v>21.8</v>
      </c>
      <c r="F618" s="1" t="s">
        <v>69</v>
      </c>
    </row>
    <row r="619" spans="1:6" x14ac:dyDescent="0.3">
      <c r="A619" t="s">
        <v>17</v>
      </c>
      <c r="B619" t="s">
        <v>38</v>
      </c>
      <c r="C619" t="s">
        <v>9</v>
      </c>
      <c r="D619" t="s">
        <v>70</v>
      </c>
      <c r="E619" s="17">
        <v>0</v>
      </c>
      <c r="F619" s="1" t="s">
        <v>69</v>
      </c>
    </row>
    <row r="620" spans="1:6" x14ac:dyDescent="0.3">
      <c r="A620" t="s">
        <v>21</v>
      </c>
      <c r="B620" t="s">
        <v>38</v>
      </c>
      <c r="C620" t="s">
        <v>4</v>
      </c>
      <c r="D620" t="s">
        <v>70</v>
      </c>
      <c r="E620" s="17">
        <v>5.9</v>
      </c>
      <c r="F620" s="1" t="s">
        <v>69</v>
      </c>
    </row>
    <row r="621" spans="1:6" x14ac:dyDescent="0.3">
      <c r="A621" t="s">
        <v>14</v>
      </c>
      <c r="B621" t="s">
        <v>38</v>
      </c>
      <c r="C621" t="s">
        <v>9</v>
      </c>
      <c r="D621" t="s">
        <v>70</v>
      </c>
      <c r="E621" s="17">
        <v>1.3</v>
      </c>
      <c r="F621" s="1" t="s">
        <v>69</v>
      </c>
    </row>
    <row r="622" spans="1:6" x14ac:dyDescent="0.3">
      <c r="A622" t="s">
        <v>13</v>
      </c>
      <c r="B622" t="s">
        <v>38</v>
      </c>
      <c r="C622" t="s">
        <v>4</v>
      </c>
      <c r="D622" t="s">
        <v>70</v>
      </c>
      <c r="E622" s="17">
        <v>0.1</v>
      </c>
      <c r="F622" s="1" t="s">
        <v>69</v>
      </c>
    </row>
    <row r="623" spans="1:6" x14ac:dyDescent="0.3">
      <c r="A623" t="s">
        <v>13</v>
      </c>
      <c r="B623" t="s">
        <v>38</v>
      </c>
      <c r="C623" t="s">
        <v>9</v>
      </c>
      <c r="D623" t="s">
        <v>70</v>
      </c>
      <c r="E623" s="17">
        <v>14.3</v>
      </c>
      <c r="F623" s="1" t="s">
        <v>69</v>
      </c>
    </row>
    <row r="624" spans="1:6" x14ac:dyDescent="0.3">
      <c r="A624" t="s">
        <v>11</v>
      </c>
      <c r="B624" t="s">
        <v>38</v>
      </c>
      <c r="C624" t="s">
        <v>6</v>
      </c>
      <c r="D624" t="s">
        <v>70</v>
      </c>
      <c r="E624" s="17">
        <v>299.3</v>
      </c>
      <c r="F624" s="1" t="s">
        <v>69</v>
      </c>
    </row>
    <row r="625" spans="1:6" x14ac:dyDescent="0.3">
      <c r="A625" t="s">
        <v>15</v>
      </c>
      <c r="B625" t="s">
        <v>38</v>
      </c>
      <c r="C625" t="s">
        <v>4</v>
      </c>
      <c r="D625" t="s">
        <v>70</v>
      </c>
      <c r="E625" s="17">
        <v>3.1</v>
      </c>
      <c r="F625" s="1" t="s">
        <v>69</v>
      </c>
    </row>
    <row r="626" spans="1:6" x14ac:dyDescent="0.3">
      <c r="A626" t="s">
        <v>16</v>
      </c>
      <c r="B626" t="s">
        <v>38</v>
      </c>
      <c r="C626" t="s">
        <v>6</v>
      </c>
      <c r="D626" t="s">
        <v>70</v>
      </c>
      <c r="E626" s="17">
        <v>14.7</v>
      </c>
      <c r="F626" s="1" t="s">
        <v>69</v>
      </c>
    </row>
    <row r="627" spans="1:6" x14ac:dyDescent="0.3">
      <c r="A627" t="s">
        <v>12</v>
      </c>
      <c r="B627" t="s">
        <v>38</v>
      </c>
      <c r="C627" t="s">
        <v>9</v>
      </c>
      <c r="D627" t="s">
        <v>70</v>
      </c>
      <c r="E627" s="17">
        <v>53.5</v>
      </c>
      <c r="F627" s="1" t="s">
        <v>69</v>
      </c>
    </row>
    <row r="628" spans="1:6" x14ac:dyDescent="0.3">
      <c r="A628" t="s">
        <v>10</v>
      </c>
      <c r="B628" t="s">
        <v>38</v>
      </c>
      <c r="C628" t="s">
        <v>6</v>
      </c>
      <c r="D628" t="s">
        <v>70</v>
      </c>
      <c r="E628" s="17">
        <v>29.5</v>
      </c>
      <c r="F628" s="1" t="s">
        <v>69</v>
      </c>
    </row>
    <row r="629" spans="1:6" x14ac:dyDescent="0.3">
      <c r="A629" t="s">
        <v>19</v>
      </c>
      <c r="B629" t="s">
        <v>38</v>
      </c>
      <c r="C629" t="s">
        <v>6</v>
      </c>
      <c r="D629" t="s">
        <v>70</v>
      </c>
      <c r="E629" s="17">
        <v>8.6999999999999993</v>
      </c>
      <c r="F629" s="1" t="s">
        <v>69</v>
      </c>
    </row>
    <row r="630" spans="1:6" x14ac:dyDescent="0.3">
      <c r="A630" t="s">
        <v>14</v>
      </c>
      <c r="B630" t="s">
        <v>38</v>
      </c>
      <c r="C630" t="s">
        <v>4</v>
      </c>
      <c r="D630" t="s">
        <v>70</v>
      </c>
      <c r="E630" s="17">
        <v>0.4</v>
      </c>
      <c r="F630" s="1" t="s">
        <v>69</v>
      </c>
    </row>
    <row r="631" spans="1:6" x14ac:dyDescent="0.3">
      <c r="A631" t="s">
        <v>8</v>
      </c>
      <c r="B631" t="s">
        <v>38</v>
      </c>
      <c r="C631" t="s">
        <v>6</v>
      </c>
      <c r="D631" t="s">
        <v>70</v>
      </c>
      <c r="E631" s="17">
        <v>19.100000000000001</v>
      </c>
      <c r="F631" s="1" t="s">
        <v>69</v>
      </c>
    </row>
    <row r="632" spans="1:6" x14ac:dyDescent="0.3">
      <c r="A632" t="s">
        <v>20</v>
      </c>
      <c r="B632" t="s">
        <v>38</v>
      </c>
      <c r="C632" t="s">
        <v>4</v>
      </c>
      <c r="D632" t="s">
        <v>70</v>
      </c>
      <c r="E632" s="17">
        <v>3.2</v>
      </c>
      <c r="F632" s="1" t="s">
        <v>69</v>
      </c>
    </row>
    <row r="633" spans="1:6" x14ac:dyDescent="0.3">
      <c r="A633" t="s">
        <v>15</v>
      </c>
      <c r="B633" t="s">
        <v>38</v>
      </c>
      <c r="C633" t="s">
        <v>6</v>
      </c>
      <c r="D633" t="s">
        <v>70</v>
      </c>
      <c r="E633" s="17">
        <v>15.2</v>
      </c>
      <c r="F633" s="1" t="s">
        <v>69</v>
      </c>
    </row>
    <row r="634" spans="1:6" x14ac:dyDescent="0.3">
      <c r="A634" t="s">
        <v>15</v>
      </c>
      <c r="B634" t="s">
        <v>38</v>
      </c>
      <c r="C634" t="s">
        <v>9</v>
      </c>
      <c r="D634" t="s">
        <v>70</v>
      </c>
      <c r="E634" s="17">
        <v>18.3</v>
      </c>
      <c r="F634" s="1" t="s">
        <v>69</v>
      </c>
    </row>
    <row r="635" spans="1:6" x14ac:dyDescent="0.3">
      <c r="A635" t="s">
        <v>14</v>
      </c>
      <c r="B635" t="s">
        <v>38</v>
      </c>
      <c r="C635" t="s">
        <v>6</v>
      </c>
      <c r="D635" t="s">
        <v>70</v>
      </c>
      <c r="E635" s="17">
        <v>0.9</v>
      </c>
      <c r="F635" s="1" t="s">
        <v>69</v>
      </c>
    </row>
    <row r="636" spans="1:6" x14ac:dyDescent="0.3">
      <c r="A636" t="s">
        <v>21</v>
      </c>
      <c r="B636" t="s">
        <v>38</v>
      </c>
      <c r="C636" t="s">
        <v>9</v>
      </c>
      <c r="D636" t="s">
        <v>70</v>
      </c>
      <c r="E636" s="17">
        <v>20.2</v>
      </c>
      <c r="F636" s="1" t="s">
        <v>69</v>
      </c>
    </row>
    <row r="637" spans="1:6" x14ac:dyDescent="0.3">
      <c r="A637" t="s">
        <v>23</v>
      </c>
      <c r="B637" t="s">
        <v>38</v>
      </c>
      <c r="C637" t="s">
        <v>4</v>
      </c>
      <c r="D637" t="s">
        <v>70</v>
      </c>
      <c r="E637" s="17">
        <v>12.1</v>
      </c>
      <c r="F637" s="1" t="s">
        <v>69</v>
      </c>
    </row>
    <row r="638" spans="1:6" x14ac:dyDescent="0.3">
      <c r="A638" t="s">
        <v>16</v>
      </c>
      <c r="B638" t="s">
        <v>38</v>
      </c>
      <c r="C638" t="s">
        <v>4</v>
      </c>
      <c r="D638" t="s">
        <v>70</v>
      </c>
      <c r="E638" s="17">
        <v>12.1</v>
      </c>
      <c r="F638" s="1" t="s">
        <v>69</v>
      </c>
    </row>
    <row r="639" spans="1:6" x14ac:dyDescent="0.3">
      <c r="A639" t="s">
        <v>10</v>
      </c>
      <c r="B639" t="s">
        <v>38</v>
      </c>
      <c r="C639" t="s">
        <v>4</v>
      </c>
      <c r="D639" t="s">
        <v>70</v>
      </c>
      <c r="E639" s="17">
        <v>48.5</v>
      </c>
      <c r="F639" s="1" t="s">
        <v>69</v>
      </c>
    </row>
    <row r="640" spans="1:6" x14ac:dyDescent="0.3">
      <c r="A640" t="s">
        <v>22</v>
      </c>
      <c r="B640" t="s">
        <v>38</v>
      </c>
      <c r="C640" t="s">
        <v>9</v>
      </c>
      <c r="D640" t="s">
        <v>70</v>
      </c>
      <c r="E640" s="17">
        <v>29.2</v>
      </c>
      <c r="F640" s="1" t="s">
        <v>69</v>
      </c>
    </row>
    <row r="641" spans="1:6" x14ac:dyDescent="0.3">
      <c r="A641" t="s">
        <v>5</v>
      </c>
      <c r="B641" t="s">
        <v>38</v>
      </c>
      <c r="C641" t="s">
        <v>4</v>
      </c>
      <c r="D641" t="s">
        <v>70</v>
      </c>
      <c r="E641" s="17">
        <v>9</v>
      </c>
      <c r="F641" s="1" t="s">
        <v>69</v>
      </c>
    </row>
    <row r="642" spans="1:6" x14ac:dyDescent="0.3">
      <c r="A642" t="s">
        <v>5</v>
      </c>
      <c r="B642" t="s">
        <v>38</v>
      </c>
      <c r="C642" t="s">
        <v>6</v>
      </c>
      <c r="D642" t="s">
        <v>70</v>
      </c>
      <c r="E642" s="17">
        <v>10.6</v>
      </c>
      <c r="F642" s="1" t="s">
        <v>69</v>
      </c>
    </row>
    <row r="643" spans="1:6" x14ac:dyDescent="0.3">
      <c r="A643" t="s">
        <v>19</v>
      </c>
      <c r="B643" t="s">
        <v>38</v>
      </c>
      <c r="C643" t="s">
        <v>9</v>
      </c>
      <c r="D643" t="s">
        <v>70</v>
      </c>
      <c r="E643" s="17">
        <v>21.1</v>
      </c>
      <c r="F643" s="1" t="s">
        <v>69</v>
      </c>
    </row>
    <row r="644" spans="1:6" x14ac:dyDescent="0.3">
      <c r="A644" t="s">
        <v>13</v>
      </c>
      <c r="B644" t="s">
        <v>38</v>
      </c>
      <c r="C644" t="s">
        <v>6</v>
      </c>
      <c r="D644" t="s">
        <v>70</v>
      </c>
      <c r="E644" s="17">
        <v>14.2</v>
      </c>
      <c r="F644" s="1" t="s">
        <v>69</v>
      </c>
    </row>
    <row r="645" spans="1:6" x14ac:dyDescent="0.3">
      <c r="A645" t="s">
        <v>20</v>
      </c>
      <c r="B645" t="s">
        <v>38</v>
      </c>
      <c r="C645" t="s">
        <v>9</v>
      </c>
      <c r="D645" t="s">
        <v>70</v>
      </c>
      <c r="E645" s="17">
        <v>23.5</v>
      </c>
      <c r="F645" s="1" t="s">
        <v>69</v>
      </c>
    </row>
    <row r="646" spans="1:6" x14ac:dyDescent="0.3">
      <c r="A646" t="s">
        <v>7</v>
      </c>
      <c r="B646" t="s">
        <v>38</v>
      </c>
      <c r="C646" t="s">
        <v>9</v>
      </c>
      <c r="D646" t="s">
        <v>70</v>
      </c>
      <c r="E646" s="17">
        <v>33.700000000000003</v>
      </c>
      <c r="F646" s="1" t="s">
        <v>69</v>
      </c>
    </row>
    <row r="647" spans="1:6" x14ac:dyDescent="0.3">
      <c r="A647" t="s">
        <v>11</v>
      </c>
      <c r="B647" t="s">
        <v>38</v>
      </c>
      <c r="C647" t="s">
        <v>4</v>
      </c>
      <c r="D647" t="s">
        <v>70</v>
      </c>
      <c r="E647" s="17">
        <v>519.5</v>
      </c>
      <c r="F647" s="1" t="s">
        <v>69</v>
      </c>
    </row>
    <row r="648" spans="1:6" x14ac:dyDescent="0.3">
      <c r="A648" t="s">
        <v>3</v>
      </c>
      <c r="B648" t="s">
        <v>38</v>
      </c>
      <c r="C648" t="s">
        <v>6</v>
      </c>
      <c r="D648" t="s">
        <v>70</v>
      </c>
      <c r="E648" s="17">
        <v>0</v>
      </c>
      <c r="F648" s="1" t="s">
        <v>69</v>
      </c>
    </row>
    <row r="649" spans="1:6" x14ac:dyDescent="0.3">
      <c r="A649" t="s">
        <v>20</v>
      </c>
      <c r="B649" t="s">
        <v>38</v>
      </c>
      <c r="C649" t="s">
        <v>6</v>
      </c>
      <c r="D649" t="s">
        <v>70</v>
      </c>
      <c r="E649" s="17">
        <v>20.3</v>
      </c>
      <c r="F649" s="1" t="s">
        <v>69</v>
      </c>
    </row>
    <row r="650" spans="1:6" x14ac:dyDescent="0.3">
      <c r="A650" t="s">
        <v>17</v>
      </c>
      <c r="B650" t="s">
        <v>38</v>
      </c>
      <c r="C650" t="s">
        <v>4</v>
      </c>
      <c r="D650" t="s">
        <v>70</v>
      </c>
      <c r="E650" s="17">
        <v>0</v>
      </c>
      <c r="F650" s="1" t="s">
        <v>69</v>
      </c>
    </row>
    <row r="651" spans="1:6" x14ac:dyDescent="0.3">
      <c r="A651" t="s">
        <v>28</v>
      </c>
      <c r="B651" t="s">
        <v>38</v>
      </c>
      <c r="C651" t="s">
        <v>9</v>
      </c>
      <c r="D651" t="s">
        <v>70</v>
      </c>
      <c r="E651" s="17">
        <v>47.7</v>
      </c>
      <c r="F651" s="1" t="s">
        <v>69</v>
      </c>
    </row>
    <row r="652" spans="1:6" x14ac:dyDescent="0.3">
      <c r="A652" t="s">
        <v>12</v>
      </c>
      <c r="B652" t="s">
        <v>38</v>
      </c>
      <c r="C652" t="s">
        <v>4</v>
      </c>
      <c r="D652" t="s">
        <v>70</v>
      </c>
      <c r="E652" s="17">
        <v>44.8</v>
      </c>
      <c r="F652" s="1" t="s">
        <v>69</v>
      </c>
    </row>
    <row r="653" spans="1:6" x14ac:dyDescent="0.3">
      <c r="A653" t="s">
        <v>17</v>
      </c>
      <c r="B653" t="s">
        <v>38</v>
      </c>
      <c r="C653" t="s">
        <v>6</v>
      </c>
      <c r="D653" t="s">
        <v>70</v>
      </c>
      <c r="E653" s="17">
        <v>0</v>
      </c>
      <c r="F653" s="1" t="s">
        <v>69</v>
      </c>
    </row>
    <row r="654" spans="1:6" x14ac:dyDescent="0.3">
      <c r="A654" t="s">
        <v>11</v>
      </c>
      <c r="B654" t="s">
        <v>38</v>
      </c>
      <c r="C654" t="s">
        <v>9</v>
      </c>
      <c r="D654" t="s">
        <v>70</v>
      </c>
      <c r="E654" s="17">
        <v>818.8</v>
      </c>
      <c r="F654" s="1" t="s">
        <v>69</v>
      </c>
    </row>
    <row r="655" spans="1:6" x14ac:dyDescent="0.3">
      <c r="A655" t="s">
        <v>7</v>
      </c>
      <c r="B655" t="s">
        <v>38</v>
      </c>
      <c r="C655" t="s">
        <v>6</v>
      </c>
      <c r="D655" t="s">
        <v>70</v>
      </c>
      <c r="E655" s="17">
        <v>13.4</v>
      </c>
      <c r="F655" s="1" t="s">
        <v>69</v>
      </c>
    </row>
    <row r="656" spans="1:6" x14ac:dyDescent="0.3">
      <c r="A656" t="s">
        <v>3</v>
      </c>
      <c r="B656" t="s">
        <v>38</v>
      </c>
      <c r="C656" t="s">
        <v>4</v>
      </c>
      <c r="D656" t="s">
        <v>70</v>
      </c>
      <c r="E656" s="17">
        <v>0</v>
      </c>
      <c r="F656" s="1" t="s">
        <v>69</v>
      </c>
    </row>
    <row r="657" spans="1:6" x14ac:dyDescent="0.3">
      <c r="A657" t="s">
        <v>16</v>
      </c>
      <c r="B657" t="s">
        <v>38</v>
      </c>
      <c r="C657" t="s">
        <v>9</v>
      </c>
      <c r="D657" t="s">
        <v>70</v>
      </c>
      <c r="E657" s="17">
        <v>26.8</v>
      </c>
      <c r="F657" s="1" t="s">
        <v>69</v>
      </c>
    </row>
    <row r="658" spans="1:6" x14ac:dyDescent="0.3">
      <c r="A658" t="s">
        <v>8</v>
      </c>
      <c r="B658" t="s">
        <v>38</v>
      </c>
      <c r="C658" t="s">
        <v>9</v>
      </c>
      <c r="D658" t="s">
        <v>70</v>
      </c>
      <c r="E658" s="17">
        <v>43.9</v>
      </c>
      <c r="F658" s="1" t="s">
        <v>69</v>
      </c>
    </row>
    <row r="659" spans="1:6" x14ac:dyDescent="0.3">
      <c r="A659" t="s">
        <v>18</v>
      </c>
      <c r="B659" t="s">
        <v>38</v>
      </c>
      <c r="C659" t="s">
        <v>6</v>
      </c>
      <c r="D659" t="s">
        <v>70</v>
      </c>
      <c r="E659" s="17">
        <v>18.100000000000001</v>
      </c>
      <c r="F659" s="1" t="s">
        <v>69</v>
      </c>
    </row>
    <row r="660" spans="1:6" x14ac:dyDescent="0.3">
      <c r="A660" t="s">
        <v>23</v>
      </c>
      <c r="B660" t="s">
        <v>38</v>
      </c>
      <c r="C660" t="s">
        <v>6</v>
      </c>
      <c r="D660" t="s">
        <v>70</v>
      </c>
      <c r="E660" s="17">
        <v>14.9</v>
      </c>
      <c r="F660" s="1" t="s">
        <v>69</v>
      </c>
    </row>
    <row r="661" spans="1:6" x14ac:dyDescent="0.3">
      <c r="A661" t="s">
        <v>7</v>
      </c>
      <c r="B661" t="s">
        <v>38</v>
      </c>
      <c r="C661" t="s">
        <v>4</v>
      </c>
      <c r="D661" t="s">
        <v>70</v>
      </c>
      <c r="E661" s="17">
        <v>20.3</v>
      </c>
      <c r="F661" s="1" t="s">
        <v>69</v>
      </c>
    </row>
    <row r="662" spans="1:6" x14ac:dyDescent="0.3">
      <c r="A662" t="s">
        <v>18</v>
      </c>
      <c r="B662" t="s">
        <v>38</v>
      </c>
      <c r="C662" t="s">
        <v>9</v>
      </c>
      <c r="D662" t="s">
        <v>70</v>
      </c>
      <c r="E662" s="17">
        <v>94.5</v>
      </c>
      <c r="F662" s="1" t="s">
        <v>69</v>
      </c>
    </row>
    <row r="663" spans="1:6" x14ac:dyDescent="0.3">
      <c r="A663" t="s">
        <v>5</v>
      </c>
      <c r="B663" t="s">
        <v>38</v>
      </c>
      <c r="C663" t="s">
        <v>9</v>
      </c>
      <c r="D663" t="s">
        <v>70</v>
      </c>
      <c r="E663" s="17">
        <v>19.600000000000001</v>
      </c>
      <c r="F663" s="1" t="s">
        <v>69</v>
      </c>
    </row>
    <row r="664" spans="1:6" x14ac:dyDescent="0.3">
      <c r="A664" t="s">
        <v>12</v>
      </c>
      <c r="B664" t="s">
        <v>38</v>
      </c>
      <c r="C664" t="s">
        <v>6</v>
      </c>
      <c r="D664" t="s">
        <v>70</v>
      </c>
      <c r="E664" s="17">
        <v>8.6999999999999993</v>
      </c>
      <c r="F664" s="1" t="s">
        <v>69</v>
      </c>
    </row>
    <row r="665" spans="1:6" x14ac:dyDescent="0.3">
      <c r="A665" t="s">
        <v>22</v>
      </c>
      <c r="B665" t="s">
        <v>38</v>
      </c>
      <c r="C665" t="s">
        <v>6</v>
      </c>
      <c r="D665" t="s">
        <v>70</v>
      </c>
      <c r="E665" s="17">
        <v>7.4</v>
      </c>
      <c r="F665" s="1" t="s">
        <v>69</v>
      </c>
    </row>
    <row r="666" spans="1:6" x14ac:dyDescent="0.3">
      <c r="A666" t="s">
        <v>18</v>
      </c>
      <c r="B666" t="s">
        <v>38</v>
      </c>
      <c r="C666" t="s">
        <v>4</v>
      </c>
      <c r="D666" t="s">
        <v>70</v>
      </c>
      <c r="E666" s="17">
        <v>76.400000000000006</v>
      </c>
      <c r="F666" s="1" t="s">
        <v>69</v>
      </c>
    </row>
    <row r="667" spans="1:6" x14ac:dyDescent="0.3">
      <c r="A667" t="s">
        <v>21</v>
      </c>
      <c r="B667" t="s">
        <v>38</v>
      </c>
      <c r="C667" t="s">
        <v>6</v>
      </c>
      <c r="D667" t="s">
        <v>70</v>
      </c>
      <c r="E667" s="17">
        <v>14.3</v>
      </c>
      <c r="F667" s="1" t="s">
        <v>69</v>
      </c>
    </row>
    <row r="668" spans="1:6" x14ac:dyDescent="0.3">
      <c r="A668" t="s">
        <v>10</v>
      </c>
      <c r="B668" t="s">
        <v>38</v>
      </c>
      <c r="C668" t="s">
        <v>9</v>
      </c>
      <c r="D668" t="s">
        <v>70</v>
      </c>
      <c r="E668" s="17">
        <v>78</v>
      </c>
      <c r="F668" s="1" t="s">
        <v>69</v>
      </c>
    </row>
    <row r="669" spans="1:6" x14ac:dyDescent="0.3">
      <c r="A669" t="s">
        <v>30</v>
      </c>
      <c r="B669" t="s">
        <v>38</v>
      </c>
      <c r="C669" t="s">
        <v>6</v>
      </c>
      <c r="D669" t="s">
        <v>70</v>
      </c>
      <c r="E669" s="17">
        <v>10.5</v>
      </c>
      <c r="F669" s="1" t="s">
        <v>69</v>
      </c>
    </row>
    <row r="670" spans="1:6" x14ac:dyDescent="0.3">
      <c r="A670" t="s">
        <v>28</v>
      </c>
      <c r="B670" t="s">
        <v>38</v>
      </c>
      <c r="C670" t="s">
        <v>4</v>
      </c>
      <c r="D670" t="s">
        <v>70</v>
      </c>
      <c r="E670" s="17">
        <v>37</v>
      </c>
      <c r="F670" s="1" t="s">
        <v>69</v>
      </c>
    </row>
    <row r="671" spans="1:6" x14ac:dyDescent="0.3">
      <c r="A671" t="s">
        <v>24</v>
      </c>
      <c r="B671" t="s">
        <v>38</v>
      </c>
      <c r="C671" t="s">
        <v>4</v>
      </c>
      <c r="D671" t="s">
        <v>70</v>
      </c>
      <c r="E671" s="17">
        <v>0</v>
      </c>
      <c r="F671" s="1" t="s">
        <v>69</v>
      </c>
    </row>
    <row r="672" spans="1:6" x14ac:dyDescent="0.3">
      <c r="A672" t="s">
        <v>25</v>
      </c>
      <c r="B672" t="s">
        <v>38</v>
      </c>
      <c r="C672" t="s">
        <v>4</v>
      </c>
      <c r="D672" t="s">
        <v>70</v>
      </c>
      <c r="E672" s="17">
        <v>1.2</v>
      </c>
      <c r="F672" s="1" t="s">
        <v>69</v>
      </c>
    </row>
    <row r="673" spans="1:6" x14ac:dyDescent="0.3">
      <c r="A673" t="s">
        <v>29</v>
      </c>
      <c r="B673" t="s">
        <v>38</v>
      </c>
      <c r="C673" t="s">
        <v>9</v>
      </c>
      <c r="D673" t="s">
        <v>70</v>
      </c>
      <c r="E673" s="17">
        <v>36.1</v>
      </c>
      <c r="F673" s="1" t="s">
        <v>69</v>
      </c>
    </row>
    <row r="674" spans="1:6" x14ac:dyDescent="0.3">
      <c r="A674" t="s">
        <v>24</v>
      </c>
      <c r="B674" t="s">
        <v>38</v>
      </c>
      <c r="C674" t="s">
        <v>6</v>
      </c>
      <c r="D674" t="s">
        <v>70</v>
      </c>
      <c r="E674" s="17">
        <v>0</v>
      </c>
      <c r="F674" s="1" t="s">
        <v>69</v>
      </c>
    </row>
    <row r="675" spans="1:6" x14ac:dyDescent="0.3">
      <c r="A675" t="s">
        <v>26</v>
      </c>
      <c r="B675" t="s">
        <v>38</v>
      </c>
      <c r="C675" t="s">
        <v>9</v>
      </c>
      <c r="D675" t="s">
        <v>70</v>
      </c>
      <c r="E675" s="17">
        <v>72</v>
      </c>
      <c r="F675" s="1" t="s">
        <v>69</v>
      </c>
    </row>
    <row r="676" spans="1:6" x14ac:dyDescent="0.3">
      <c r="A676" t="s">
        <v>27</v>
      </c>
      <c r="B676" t="s">
        <v>38</v>
      </c>
      <c r="C676" t="s">
        <v>6</v>
      </c>
      <c r="D676" t="s">
        <v>70</v>
      </c>
      <c r="E676" s="17">
        <v>32.4</v>
      </c>
      <c r="F676" s="1" t="s">
        <v>69</v>
      </c>
    </row>
    <row r="677" spans="1:6" x14ac:dyDescent="0.3">
      <c r="A677" t="s">
        <v>28</v>
      </c>
      <c r="B677" t="s">
        <v>38</v>
      </c>
      <c r="C677" t="s">
        <v>6</v>
      </c>
      <c r="D677" t="s">
        <v>70</v>
      </c>
      <c r="E677" s="17">
        <v>10.7</v>
      </c>
      <c r="F677" s="1" t="s">
        <v>69</v>
      </c>
    </row>
    <row r="678" spans="1:6" x14ac:dyDescent="0.3">
      <c r="A678" t="s">
        <v>24</v>
      </c>
      <c r="B678" t="s">
        <v>38</v>
      </c>
      <c r="C678" t="s">
        <v>9</v>
      </c>
      <c r="D678" t="s">
        <v>70</v>
      </c>
      <c r="E678" s="17">
        <v>6.5</v>
      </c>
      <c r="F678" s="1" t="s">
        <v>69</v>
      </c>
    </row>
    <row r="679" spans="1:6" x14ac:dyDescent="0.3">
      <c r="A679" t="s">
        <v>27</v>
      </c>
      <c r="B679" t="s">
        <v>38</v>
      </c>
      <c r="C679" t="s">
        <v>9</v>
      </c>
      <c r="D679" t="s">
        <v>70</v>
      </c>
      <c r="E679" s="17">
        <v>81.900000000000006</v>
      </c>
      <c r="F679" s="1" t="s">
        <v>69</v>
      </c>
    </row>
    <row r="680" spans="1:6" x14ac:dyDescent="0.3">
      <c r="A680" t="s">
        <v>30</v>
      </c>
      <c r="B680" t="s">
        <v>38</v>
      </c>
      <c r="C680" t="s">
        <v>9</v>
      </c>
      <c r="D680" t="s">
        <v>70</v>
      </c>
      <c r="E680" s="17">
        <v>57.8</v>
      </c>
      <c r="F680" s="1" t="s">
        <v>69</v>
      </c>
    </row>
    <row r="681" spans="1:6" x14ac:dyDescent="0.3">
      <c r="A681" t="s">
        <v>25</v>
      </c>
      <c r="B681" t="s">
        <v>38</v>
      </c>
      <c r="C681" t="s">
        <v>6</v>
      </c>
      <c r="D681" t="s">
        <v>70</v>
      </c>
      <c r="E681" s="17">
        <v>10</v>
      </c>
      <c r="F681" s="1" t="s">
        <v>69</v>
      </c>
    </row>
    <row r="682" spans="1:6" x14ac:dyDescent="0.3">
      <c r="A682" t="s">
        <v>29</v>
      </c>
      <c r="B682" t="s">
        <v>38</v>
      </c>
      <c r="C682" t="s">
        <v>6</v>
      </c>
      <c r="D682" t="s">
        <v>70</v>
      </c>
      <c r="E682" s="17">
        <v>10.9</v>
      </c>
      <c r="F682" s="1" t="s">
        <v>69</v>
      </c>
    </row>
    <row r="683" spans="1:6" x14ac:dyDescent="0.3">
      <c r="A683" t="s">
        <v>30</v>
      </c>
      <c r="B683" t="s">
        <v>38</v>
      </c>
      <c r="C683" t="s">
        <v>4</v>
      </c>
      <c r="D683" t="s">
        <v>70</v>
      </c>
      <c r="E683" s="17">
        <v>47.3</v>
      </c>
      <c r="F683" s="1" t="s">
        <v>69</v>
      </c>
    </row>
    <row r="684" spans="1:6" x14ac:dyDescent="0.3">
      <c r="A684" t="s">
        <v>26</v>
      </c>
      <c r="B684" t="s">
        <v>38</v>
      </c>
      <c r="C684" t="s">
        <v>6</v>
      </c>
      <c r="D684" t="s">
        <v>70</v>
      </c>
      <c r="E684" s="17">
        <v>7.7</v>
      </c>
      <c r="F684" s="1" t="s">
        <v>69</v>
      </c>
    </row>
    <row r="685" spans="1:6" x14ac:dyDescent="0.3">
      <c r="A685" t="s">
        <v>27</v>
      </c>
      <c r="B685" t="s">
        <v>38</v>
      </c>
      <c r="C685" t="s">
        <v>4</v>
      </c>
      <c r="D685" t="s">
        <v>70</v>
      </c>
      <c r="E685" s="17">
        <v>49.5</v>
      </c>
      <c r="F685" s="1" t="s">
        <v>69</v>
      </c>
    </row>
    <row r="686" spans="1:6" x14ac:dyDescent="0.3">
      <c r="A686" t="s">
        <v>26</v>
      </c>
      <c r="B686" t="s">
        <v>38</v>
      </c>
      <c r="C686" t="s">
        <v>4</v>
      </c>
      <c r="D686" t="s">
        <v>70</v>
      </c>
      <c r="E686" s="17">
        <v>64.3</v>
      </c>
      <c r="F686" s="1" t="s">
        <v>69</v>
      </c>
    </row>
    <row r="687" spans="1:6" x14ac:dyDescent="0.3">
      <c r="A687" t="s">
        <v>29</v>
      </c>
      <c r="B687" t="s">
        <v>38</v>
      </c>
      <c r="C687" t="s">
        <v>4</v>
      </c>
      <c r="D687" t="s">
        <v>70</v>
      </c>
      <c r="E687" s="17">
        <v>25.2</v>
      </c>
      <c r="F687" s="1" t="s">
        <v>69</v>
      </c>
    </row>
    <row r="688" spans="1:6" x14ac:dyDescent="0.3">
      <c r="A688" t="s">
        <v>25</v>
      </c>
      <c r="B688" t="s">
        <v>38</v>
      </c>
      <c r="C688" t="s">
        <v>9</v>
      </c>
      <c r="D688" t="s">
        <v>70</v>
      </c>
      <c r="E688" s="17">
        <v>11.2</v>
      </c>
      <c r="F688" s="1" t="s">
        <v>69</v>
      </c>
    </row>
    <row r="689" spans="1:6" x14ac:dyDescent="0.3">
      <c r="A689" t="s">
        <v>3</v>
      </c>
      <c r="B689" t="s">
        <v>38</v>
      </c>
      <c r="C689" t="s">
        <v>9</v>
      </c>
      <c r="D689" t="s">
        <v>73</v>
      </c>
      <c r="E689" s="17">
        <v>3.2</v>
      </c>
      <c r="F689" s="1">
        <v>45717</v>
      </c>
    </row>
    <row r="690" spans="1:6" x14ac:dyDescent="0.3">
      <c r="A690" t="s">
        <v>3</v>
      </c>
      <c r="B690" t="s">
        <v>38</v>
      </c>
      <c r="C690" t="s">
        <v>9</v>
      </c>
      <c r="D690" t="s">
        <v>74</v>
      </c>
      <c r="E690" s="17">
        <v>1.1000000000000001</v>
      </c>
      <c r="F690" s="1">
        <v>46082</v>
      </c>
    </row>
    <row r="691" spans="1:6" x14ac:dyDescent="0.3">
      <c r="A691" t="s">
        <v>19</v>
      </c>
      <c r="B691" t="s">
        <v>38</v>
      </c>
      <c r="C691" t="s">
        <v>4</v>
      </c>
      <c r="D691" t="s">
        <v>73</v>
      </c>
      <c r="E691" s="17">
        <v>18.100000000000001</v>
      </c>
      <c r="F691" s="1">
        <v>45717</v>
      </c>
    </row>
    <row r="692" spans="1:6" x14ac:dyDescent="0.3">
      <c r="A692" t="s">
        <v>19</v>
      </c>
      <c r="B692" t="s">
        <v>38</v>
      </c>
      <c r="C692" t="s">
        <v>4</v>
      </c>
      <c r="D692" t="s">
        <v>74</v>
      </c>
      <c r="E692" s="17">
        <v>19</v>
      </c>
      <c r="F692" s="1">
        <v>46082</v>
      </c>
    </row>
    <row r="693" spans="1:6" x14ac:dyDescent="0.3">
      <c r="A693" t="s">
        <v>8</v>
      </c>
      <c r="B693" t="s">
        <v>38</v>
      </c>
      <c r="C693" t="s">
        <v>4</v>
      </c>
      <c r="D693" t="s">
        <v>73</v>
      </c>
      <c r="E693" s="17">
        <v>36</v>
      </c>
      <c r="F693" s="1">
        <v>45717</v>
      </c>
    </row>
    <row r="694" spans="1:6" x14ac:dyDescent="0.3">
      <c r="A694" t="s">
        <v>8</v>
      </c>
      <c r="B694" t="s">
        <v>38</v>
      </c>
      <c r="C694" t="s">
        <v>4</v>
      </c>
      <c r="D694" t="s">
        <v>74</v>
      </c>
      <c r="E694" s="17">
        <v>39.9</v>
      </c>
      <c r="F694" s="1">
        <v>46082</v>
      </c>
    </row>
    <row r="695" spans="1:6" x14ac:dyDescent="0.3">
      <c r="A695" t="s">
        <v>23</v>
      </c>
      <c r="B695" t="s">
        <v>38</v>
      </c>
      <c r="C695" t="s">
        <v>9</v>
      </c>
      <c r="D695" t="s">
        <v>73</v>
      </c>
      <c r="E695" s="17">
        <v>51</v>
      </c>
      <c r="F695" s="1">
        <v>45717</v>
      </c>
    </row>
    <row r="696" spans="1:6" x14ac:dyDescent="0.3">
      <c r="A696" t="s">
        <v>23</v>
      </c>
      <c r="B696" t="s">
        <v>38</v>
      </c>
      <c r="C696" t="s">
        <v>9</v>
      </c>
      <c r="D696" t="s">
        <v>74</v>
      </c>
      <c r="E696" s="17">
        <v>46</v>
      </c>
      <c r="F696" s="1">
        <v>46082</v>
      </c>
    </row>
    <row r="697" spans="1:6" x14ac:dyDescent="0.3">
      <c r="A697" t="s">
        <v>22</v>
      </c>
      <c r="B697" t="s">
        <v>38</v>
      </c>
      <c r="C697" t="s">
        <v>4</v>
      </c>
      <c r="D697" t="s">
        <v>73</v>
      </c>
      <c r="E697" s="17">
        <v>37.5</v>
      </c>
      <c r="F697" s="1">
        <v>45717</v>
      </c>
    </row>
    <row r="698" spans="1:6" x14ac:dyDescent="0.3">
      <c r="A698" t="s">
        <v>22</v>
      </c>
      <c r="B698" t="s">
        <v>38</v>
      </c>
      <c r="C698" t="s">
        <v>4</v>
      </c>
      <c r="D698" t="s">
        <v>74</v>
      </c>
      <c r="E698" s="17">
        <v>33.799999999999997</v>
      </c>
      <c r="F698" s="1">
        <v>46082</v>
      </c>
    </row>
    <row r="699" spans="1:6" x14ac:dyDescent="0.3">
      <c r="A699" t="s">
        <v>17</v>
      </c>
      <c r="B699" t="s">
        <v>38</v>
      </c>
      <c r="C699" t="s">
        <v>9</v>
      </c>
      <c r="D699" t="s">
        <v>73</v>
      </c>
      <c r="E699" s="17">
        <v>5.9</v>
      </c>
      <c r="F699" s="1">
        <v>45717</v>
      </c>
    </row>
    <row r="700" spans="1:6" x14ac:dyDescent="0.3">
      <c r="A700" t="s">
        <v>17</v>
      </c>
      <c r="B700" t="s">
        <v>38</v>
      </c>
      <c r="C700" t="s">
        <v>9</v>
      </c>
      <c r="D700" t="s">
        <v>74</v>
      </c>
      <c r="E700" s="17">
        <v>0</v>
      </c>
      <c r="F700" s="1">
        <v>46082</v>
      </c>
    </row>
    <row r="701" spans="1:6" x14ac:dyDescent="0.3">
      <c r="A701" t="s">
        <v>21</v>
      </c>
      <c r="B701" t="s">
        <v>38</v>
      </c>
      <c r="C701" t="s">
        <v>4</v>
      </c>
      <c r="D701" t="s">
        <v>73</v>
      </c>
      <c r="E701" s="17">
        <v>7.9</v>
      </c>
      <c r="F701" s="1">
        <v>45717</v>
      </c>
    </row>
    <row r="702" spans="1:6" x14ac:dyDescent="0.3">
      <c r="A702" t="s">
        <v>21</v>
      </c>
      <c r="B702" t="s">
        <v>38</v>
      </c>
      <c r="C702" t="s">
        <v>4</v>
      </c>
      <c r="D702" t="s">
        <v>74</v>
      </c>
      <c r="E702" s="17">
        <v>9.1999999999999993</v>
      </c>
      <c r="F702" s="1">
        <v>46082</v>
      </c>
    </row>
    <row r="703" spans="1:6" x14ac:dyDescent="0.3">
      <c r="A703" t="s">
        <v>14</v>
      </c>
      <c r="B703" t="s">
        <v>38</v>
      </c>
      <c r="C703" t="s">
        <v>9</v>
      </c>
      <c r="D703" t="s">
        <v>73</v>
      </c>
      <c r="E703" s="17">
        <v>3.4</v>
      </c>
      <c r="F703" s="1">
        <v>45717</v>
      </c>
    </row>
    <row r="704" spans="1:6" x14ac:dyDescent="0.3">
      <c r="A704" t="s">
        <v>14</v>
      </c>
      <c r="B704" t="s">
        <v>38</v>
      </c>
      <c r="C704" t="s">
        <v>9</v>
      </c>
      <c r="D704" t="s">
        <v>74</v>
      </c>
      <c r="E704" s="17">
        <v>2.2999999999999998</v>
      </c>
      <c r="F704" s="1">
        <v>46082</v>
      </c>
    </row>
    <row r="705" spans="1:6" x14ac:dyDescent="0.3">
      <c r="A705" t="s">
        <v>13</v>
      </c>
      <c r="B705" t="s">
        <v>38</v>
      </c>
      <c r="C705" t="s">
        <v>4</v>
      </c>
      <c r="D705" t="s">
        <v>73</v>
      </c>
      <c r="E705" s="17">
        <v>0.3</v>
      </c>
      <c r="F705" s="1">
        <v>45717</v>
      </c>
    </row>
    <row r="706" spans="1:6" x14ac:dyDescent="0.3">
      <c r="A706" t="s">
        <v>13</v>
      </c>
      <c r="B706" t="s">
        <v>38</v>
      </c>
      <c r="C706" t="s">
        <v>4</v>
      </c>
      <c r="D706" t="s">
        <v>74</v>
      </c>
      <c r="E706" s="17">
        <v>0.2</v>
      </c>
      <c r="F706" s="1">
        <v>46082</v>
      </c>
    </row>
    <row r="707" spans="1:6" x14ac:dyDescent="0.3">
      <c r="A707" t="s">
        <v>13</v>
      </c>
      <c r="B707" t="s">
        <v>38</v>
      </c>
      <c r="C707" t="s">
        <v>9</v>
      </c>
      <c r="D707" t="s">
        <v>73</v>
      </c>
      <c r="E707" s="17">
        <v>51.6</v>
      </c>
      <c r="F707" s="1">
        <v>45717</v>
      </c>
    </row>
    <row r="708" spans="1:6" x14ac:dyDescent="0.3">
      <c r="A708" t="s">
        <v>13</v>
      </c>
      <c r="B708" t="s">
        <v>38</v>
      </c>
      <c r="C708" t="s">
        <v>9</v>
      </c>
      <c r="D708" t="s">
        <v>74</v>
      </c>
      <c r="E708" s="17">
        <v>20.9</v>
      </c>
      <c r="F708" s="1">
        <v>46082</v>
      </c>
    </row>
    <row r="709" spans="1:6" x14ac:dyDescent="0.3">
      <c r="A709" t="s">
        <v>11</v>
      </c>
      <c r="B709" t="s">
        <v>38</v>
      </c>
      <c r="C709" t="s">
        <v>6</v>
      </c>
      <c r="D709" t="s">
        <v>73</v>
      </c>
      <c r="E709" s="17">
        <v>675.5</v>
      </c>
      <c r="F709" s="1">
        <v>45717</v>
      </c>
    </row>
    <row r="710" spans="1:6" x14ac:dyDescent="0.3">
      <c r="A710" t="s">
        <v>11</v>
      </c>
      <c r="B710" t="s">
        <v>38</v>
      </c>
      <c r="C710" t="s">
        <v>6</v>
      </c>
      <c r="D710" t="s">
        <v>74</v>
      </c>
      <c r="E710" s="17">
        <v>509.7</v>
      </c>
      <c r="F710" s="1">
        <v>46082</v>
      </c>
    </row>
    <row r="711" spans="1:6" x14ac:dyDescent="0.3">
      <c r="A711" t="s">
        <v>15</v>
      </c>
      <c r="B711" t="s">
        <v>38</v>
      </c>
      <c r="C711" t="s">
        <v>4</v>
      </c>
      <c r="D711" t="s">
        <v>73</v>
      </c>
      <c r="E711" s="17">
        <v>4.0999999999999996</v>
      </c>
      <c r="F711" s="1">
        <v>45717</v>
      </c>
    </row>
    <row r="712" spans="1:6" x14ac:dyDescent="0.3">
      <c r="A712" t="s">
        <v>15</v>
      </c>
      <c r="B712" t="s">
        <v>38</v>
      </c>
      <c r="C712" t="s">
        <v>4</v>
      </c>
      <c r="D712" t="s">
        <v>74</v>
      </c>
      <c r="E712" s="17">
        <v>4.7</v>
      </c>
      <c r="F712" s="1">
        <v>46082</v>
      </c>
    </row>
    <row r="713" spans="1:6" x14ac:dyDescent="0.3">
      <c r="A713" t="s">
        <v>16</v>
      </c>
      <c r="B713" t="s">
        <v>38</v>
      </c>
      <c r="C713" t="s">
        <v>6</v>
      </c>
      <c r="D713" t="s">
        <v>73</v>
      </c>
      <c r="E713" s="17">
        <v>30.2</v>
      </c>
      <c r="F713" s="1">
        <v>45717</v>
      </c>
    </row>
    <row r="714" spans="1:6" x14ac:dyDescent="0.3">
      <c r="A714" t="s">
        <v>16</v>
      </c>
      <c r="B714" t="s">
        <v>38</v>
      </c>
      <c r="C714" t="s">
        <v>6</v>
      </c>
      <c r="D714" t="s">
        <v>74</v>
      </c>
      <c r="E714" s="17">
        <v>26.5</v>
      </c>
      <c r="F714" s="1">
        <v>46082</v>
      </c>
    </row>
    <row r="715" spans="1:6" x14ac:dyDescent="0.3">
      <c r="A715" t="s">
        <v>12</v>
      </c>
      <c r="B715" t="s">
        <v>38</v>
      </c>
      <c r="C715" t="s">
        <v>9</v>
      </c>
      <c r="D715" t="s">
        <v>73</v>
      </c>
      <c r="E715" s="17">
        <v>82.6</v>
      </c>
      <c r="F715" s="1">
        <v>45717</v>
      </c>
    </row>
    <row r="716" spans="1:6" x14ac:dyDescent="0.3">
      <c r="A716" t="s">
        <v>12</v>
      </c>
      <c r="B716" t="s">
        <v>38</v>
      </c>
      <c r="C716" t="s">
        <v>9</v>
      </c>
      <c r="D716" t="s">
        <v>74</v>
      </c>
      <c r="E716" s="17">
        <v>82</v>
      </c>
      <c r="F716" s="1">
        <v>46082</v>
      </c>
    </row>
    <row r="717" spans="1:6" x14ac:dyDescent="0.3">
      <c r="A717" t="s">
        <v>10</v>
      </c>
      <c r="B717" t="s">
        <v>38</v>
      </c>
      <c r="C717" t="s">
        <v>6</v>
      </c>
      <c r="D717" t="s">
        <v>73</v>
      </c>
      <c r="E717" s="17">
        <v>54.7</v>
      </c>
      <c r="F717" s="1">
        <v>45717</v>
      </c>
    </row>
    <row r="718" spans="1:6" x14ac:dyDescent="0.3">
      <c r="A718" t="s">
        <v>10</v>
      </c>
      <c r="B718" t="s">
        <v>38</v>
      </c>
      <c r="C718" t="s">
        <v>6</v>
      </c>
      <c r="D718" t="s">
        <v>74</v>
      </c>
      <c r="E718" s="17">
        <v>48</v>
      </c>
      <c r="F718" s="1">
        <v>46082</v>
      </c>
    </row>
    <row r="719" spans="1:6" x14ac:dyDescent="0.3">
      <c r="A719" t="s">
        <v>19</v>
      </c>
      <c r="B719" t="s">
        <v>38</v>
      </c>
      <c r="C719" t="s">
        <v>6</v>
      </c>
      <c r="D719" t="s">
        <v>73</v>
      </c>
      <c r="E719" s="17">
        <v>19.8</v>
      </c>
      <c r="F719" s="1">
        <v>45717</v>
      </c>
    </row>
    <row r="720" spans="1:6" x14ac:dyDescent="0.3">
      <c r="A720" t="s">
        <v>19</v>
      </c>
      <c r="B720" t="s">
        <v>38</v>
      </c>
      <c r="C720" t="s">
        <v>6</v>
      </c>
      <c r="D720" t="s">
        <v>74</v>
      </c>
      <c r="E720" s="17">
        <v>17.3</v>
      </c>
      <c r="F720" s="1">
        <v>46082</v>
      </c>
    </row>
    <row r="721" spans="1:6" x14ac:dyDescent="0.3">
      <c r="A721" t="s">
        <v>14</v>
      </c>
      <c r="B721" t="s">
        <v>38</v>
      </c>
      <c r="C721" t="s">
        <v>4</v>
      </c>
      <c r="D721" t="s">
        <v>73</v>
      </c>
      <c r="E721" s="17">
        <v>0.9</v>
      </c>
      <c r="F721" s="1">
        <v>45717</v>
      </c>
    </row>
    <row r="722" spans="1:6" x14ac:dyDescent="0.3">
      <c r="A722" t="s">
        <v>14</v>
      </c>
      <c r="B722" t="s">
        <v>38</v>
      </c>
      <c r="C722" t="s">
        <v>4</v>
      </c>
      <c r="D722" t="s">
        <v>74</v>
      </c>
      <c r="E722" s="17">
        <v>0.6</v>
      </c>
      <c r="F722" s="1">
        <v>46082</v>
      </c>
    </row>
    <row r="723" spans="1:6" x14ac:dyDescent="0.3">
      <c r="A723" t="s">
        <v>8</v>
      </c>
      <c r="B723" t="s">
        <v>38</v>
      </c>
      <c r="C723" t="s">
        <v>6</v>
      </c>
      <c r="D723" t="s">
        <v>73</v>
      </c>
      <c r="E723" s="17">
        <v>52</v>
      </c>
      <c r="F723" s="1">
        <v>45717</v>
      </c>
    </row>
    <row r="724" spans="1:6" x14ac:dyDescent="0.3">
      <c r="A724" t="s">
        <v>8</v>
      </c>
      <c r="B724" t="s">
        <v>38</v>
      </c>
      <c r="C724" t="s">
        <v>6</v>
      </c>
      <c r="D724" t="s">
        <v>74</v>
      </c>
      <c r="E724" s="17">
        <v>32.1</v>
      </c>
      <c r="F724" s="1">
        <v>46082</v>
      </c>
    </row>
    <row r="725" spans="1:6" x14ac:dyDescent="0.3">
      <c r="A725" t="s">
        <v>20</v>
      </c>
      <c r="B725" t="s">
        <v>38</v>
      </c>
      <c r="C725" t="s">
        <v>4</v>
      </c>
      <c r="D725" t="s">
        <v>73</v>
      </c>
      <c r="E725" s="17">
        <v>5.6</v>
      </c>
      <c r="F725" s="1">
        <v>45717</v>
      </c>
    </row>
    <row r="726" spans="1:6" x14ac:dyDescent="0.3">
      <c r="A726" t="s">
        <v>20</v>
      </c>
      <c r="B726" t="s">
        <v>38</v>
      </c>
      <c r="C726" t="s">
        <v>4</v>
      </c>
      <c r="D726" t="s">
        <v>74</v>
      </c>
      <c r="E726" s="17">
        <v>4.9000000000000004</v>
      </c>
      <c r="F726" s="1">
        <v>46082</v>
      </c>
    </row>
    <row r="727" spans="1:6" x14ac:dyDescent="0.3">
      <c r="A727" t="s">
        <v>15</v>
      </c>
      <c r="B727" t="s">
        <v>38</v>
      </c>
      <c r="C727" t="s">
        <v>6</v>
      </c>
      <c r="D727" t="s">
        <v>73</v>
      </c>
      <c r="E727" s="17">
        <v>33.4</v>
      </c>
      <c r="F727" s="1">
        <v>45717</v>
      </c>
    </row>
    <row r="728" spans="1:6" x14ac:dyDescent="0.3">
      <c r="A728" t="s">
        <v>15</v>
      </c>
      <c r="B728" t="s">
        <v>38</v>
      </c>
      <c r="C728" t="s">
        <v>6</v>
      </c>
      <c r="D728" t="s">
        <v>74</v>
      </c>
      <c r="E728" s="17">
        <v>26.7</v>
      </c>
      <c r="F728" s="1">
        <v>46082</v>
      </c>
    </row>
    <row r="729" spans="1:6" x14ac:dyDescent="0.3">
      <c r="A729" t="s">
        <v>15</v>
      </c>
      <c r="B729" t="s">
        <v>38</v>
      </c>
      <c r="C729" t="s">
        <v>9</v>
      </c>
      <c r="D729" t="s">
        <v>73</v>
      </c>
      <c r="E729" s="17">
        <v>37.5</v>
      </c>
      <c r="F729" s="1">
        <v>45717</v>
      </c>
    </row>
    <row r="730" spans="1:6" x14ac:dyDescent="0.3">
      <c r="A730" t="s">
        <v>15</v>
      </c>
      <c r="B730" t="s">
        <v>38</v>
      </c>
      <c r="C730" t="s">
        <v>9</v>
      </c>
      <c r="D730" t="s">
        <v>74</v>
      </c>
      <c r="E730" s="17">
        <v>31.4</v>
      </c>
      <c r="F730" s="1">
        <v>46082</v>
      </c>
    </row>
    <row r="731" spans="1:6" x14ac:dyDescent="0.3">
      <c r="A731" t="s">
        <v>14</v>
      </c>
      <c r="B731" t="s">
        <v>38</v>
      </c>
      <c r="C731" t="s">
        <v>6</v>
      </c>
      <c r="D731" t="s">
        <v>73</v>
      </c>
      <c r="E731" s="17">
        <v>2.5</v>
      </c>
      <c r="F731" s="1">
        <v>45717</v>
      </c>
    </row>
    <row r="732" spans="1:6" x14ac:dyDescent="0.3">
      <c r="A732" t="s">
        <v>14</v>
      </c>
      <c r="B732" t="s">
        <v>38</v>
      </c>
      <c r="C732" t="s">
        <v>6</v>
      </c>
      <c r="D732" t="s">
        <v>74</v>
      </c>
      <c r="E732" s="17">
        <v>1.7</v>
      </c>
      <c r="F732" s="1">
        <v>46082</v>
      </c>
    </row>
    <row r="733" spans="1:6" x14ac:dyDescent="0.3">
      <c r="A733" t="s">
        <v>21</v>
      </c>
      <c r="B733" t="s">
        <v>38</v>
      </c>
      <c r="C733" t="s">
        <v>9</v>
      </c>
      <c r="D733" t="s">
        <v>73</v>
      </c>
      <c r="E733" s="17">
        <v>50.8</v>
      </c>
      <c r="F733" s="1">
        <v>45717</v>
      </c>
    </row>
    <row r="734" spans="1:6" x14ac:dyDescent="0.3">
      <c r="A734" t="s">
        <v>21</v>
      </c>
      <c r="B734" t="s">
        <v>38</v>
      </c>
      <c r="C734" t="s">
        <v>9</v>
      </c>
      <c r="D734" t="s">
        <v>74</v>
      </c>
      <c r="E734" s="17">
        <v>38.4</v>
      </c>
      <c r="F734" s="1">
        <v>46082</v>
      </c>
    </row>
    <row r="735" spans="1:6" x14ac:dyDescent="0.3">
      <c r="A735" t="s">
        <v>23</v>
      </c>
      <c r="B735" t="s">
        <v>38</v>
      </c>
      <c r="C735" t="s">
        <v>4</v>
      </c>
      <c r="D735" t="s">
        <v>73</v>
      </c>
      <c r="E735" s="17">
        <v>14.5</v>
      </c>
      <c r="F735" s="1">
        <v>45717</v>
      </c>
    </row>
    <row r="736" spans="1:6" x14ac:dyDescent="0.3">
      <c r="A736" t="s">
        <v>23</v>
      </c>
      <c r="B736" t="s">
        <v>38</v>
      </c>
      <c r="C736" t="s">
        <v>4</v>
      </c>
      <c r="D736" t="s">
        <v>74</v>
      </c>
      <c r="E736" s="17">
        <v>18.899999999999999</v>
      </c>
      <c r="F736" s="1">
        <v>46082</v>
      </c>
    </row>
    <row r="737" spans="1:6" x14ac:dyDescent="0.3">
      <c r="A737" t="s">
        <v>16</v>
      </c>
      <c r="B737" t="s">
        <v>38</v>
      </c>
      <c r="C737" t="s">
        <v>4</v>
      </c>
      <c r="D737" t="s">
        <v>73</v>
      </c>
      <c r="E737" s="17">
        <v>19.2</v>
      </c>
      <c r="F737" s="1">
        <v>45717</v>
      </c>
    </row>
    <row r="738" spans="1:6" x14ac:dyDescent="0.3">
      <c r="A738" t="s">
        <v>16</v>
      </c>
      <c r="B738" t="s">
        <v>38</v>
      </c>
      <c r="C738" t="s">
        <v>4</v>
      </c>
      <c r="D738" t="s">
        <v>74</v>
      </c>
      <c r="E738" s="17">
        <v>19.100000000000001</v>
      </c>
      <c r="F738" s="1">
        <v>46082</v>
      </c>
    </row>
    <row r="739" spans="1:6" x14ac:dyDescent="0.3">
      <c r="A739" t="s">
        <v>10</v>
      </c>
      <c r="B739" t="s">
        <v>38</v>
      </c>
      <c r="C739" t="s">
        <v>4</v>
      </c>
      <c r="D739" t="s">
        <v>73</v>
      </c>
      <c r="E739" s="17">
        <v>69.5</v>
      </c>
      <c r="F739" s="1">
        <v>45717</v>
      </c>
    </row>
    <row r="740" spans="1:6" x14ac:dyDescent="0.3">
      <c r="A740" t="s">
        <v>10</v>
      </c>
      <c r="B740" t="s">
        <v>38</v>
      </c>
      <c r="C740" t="s">
        <v>4</v>
      </c>
      <c r="D740" t="s">
        <v>74</v>
      </c>
      <c r="E740" s="17">
        <v>74</v>
      </c>
      <c r="F740" s="1">
        <v>46082</v>
      </c>
    </row>
    <row r="741" spans="1:6" x14ac:dyDescent="0.3">
      <c r="A741" t="s">
        <v>22</v>
      </c>
      <c r="B741" t="s">
        <v>38</v>
      </c>
      <c r="C741" t="s">
        <v>9</v>
      </c>
      <c r="D741" t="s">
        <v>73</v>
      </c>
      <c r="E741" s="17">
        <v>54.6</v>
      </c>
      <c r="F741" s="1">
        <v>45717</v>
      </c>
    </row>
    <row r="742" spans="1:6" x14ac:dyDescent="0.3">
      <c r="A742" t="s">
        <v>22</v>
      </c>
      <c r="B742" t="s">
        <v>38</v>
      </c>
      <c r="C742" t="s">
        <v>9</v>
      </c>
      <c r="D742" t="s">
        <v>74</v>
      </c>
      <c r="E742" s="17">
        <v>46</v>
      </c>
      <c r="F742" s="1">
        <v>46082</v>
      </c>
    </row>
    <row r="743" spans="1:6" x14ac:dyDescent="0.3">
      <c r="A743" t="s">
        <v>5</v>
      </c>
      <c r="B743" t="s">
        <v>38</v>
      </c>
      <c r="C743" t="s">
        <v>4</v>
      </c>
      <c r="D743" t="s">
        <v>73</v>
      </c>
      <c r="E743" s="17">
        <v>15.8</v>
      </c>
      <c r="F743" s="1">
        <v>45717</v>
      </c>
    </row>
    <row r="744" spans="1:6" x14ac:dyDescent="0.3">
      <c r="A744" t="s">
        <v>5</v>
      </c>
      <c r="B744" t="s">
        <v>38</v>
      </c>
      <c r="C744" t="s">
        <v>4</v>
      </c>
      <c r="D744" t="s">
        <v>74</v>
      </c>
      <c r="E744" s="17">
        <v>13.9</v>
      </c>
      <c r="F744" s="1">
        <v>46082</v>
      </c>
    </row>
    <row r="745" spans="1:6" x14ac:dyDescent="0.3">
      <c r="A745" t="s">
        <v>5</v>
      </c>
      <c r="B745" t="s">
        <v>38</v>
      </c>
      <c r="C745" t="s">
        <v>6</v>
      </c>
      <c r="D745" t="s">
        <v>73</v>
      </c>
      <c r="E745" s="17">
        <v>18.2</v>
      </c>
      <c r="F745" s="1">
        <v>45717</v>
      </c>
    </row>
    <row r="746" spans="1:6" x14ac:dyDescent="0.3">
      <c r="A746" t="s">
        <v>5</v>
      </c>
      <c r="B746" t="s">
        <v>38</v>
      </c>
      <c r="C746" t="s">
        <v>6</v>
      </c>
      <c r="D746" t="s">
        <v>74</v>
      </c>
      <c r="E746" s="17">
        <v>16.3</v>
      </c>
      <c r="F746" s="1">
        <v>46082</v>
      </c>
    </row>
    <row r="747" spans="1:6" x14ac:dyDescent="0.3">
      <c r="A747" t="s">
        <v>19</v>
      </c>
      <c r="B747" t="s">
        <v>38</v>
      </c>
      <c r="C747" t="s">
        <v>9</v>
      </c>
      <c r="D747" t="s">
        <v>73</v>
      </c>
      <c r="E747" s="17">
        <v>37.9</v>
      </c>
      <c r="F747" s="1">
        <v>45717</v>
      </c>
    </row>
    <row r="748" spans="1:6" x14ac:dyDescent="0.3">
      <c r="A748" t="s">
        <v>19</v>
      </c>
      <c r="B748" t="s">
        <v>38</v>
      </c>
      <c r="C748" t="s">
        <v>9</v>
      </c>
      <c r="D748" t="s">
        <v>74</v>
      </c>
      <c r="E748" s="17">
        <v>36.299999999999997</v>
      </c>
      <c r="F748" s="1">
        <v>46082</v>
      </c>
    </row>
    <row r="749" spans="1:6" x14ac:dyDescent="0.3">
      <c r="A749" t="s">
        <v>13</v>
      </c>
      <c r="B749" t="s">
        <v>38</v>
      </c>
      <c r="C749" t="s">
        <v>6</v>
      </c>
      <c r="D749" t="s">
        <v>73</v>
      </c>
      <c r="E749" s="17">
        <v>51.3</v>
      </c>
      <c r="F749" s="1">
        <v>45717</v>
      </c>
    </row>
    <row r="750" spans="1:6" x14ac:dyDescent="0.3">
      <c r="A750" t="s">
        <v>13</v>
      </c>
      <c r="B750" t="s">
        <v>38</v>
      </c>
      <c r="C750" t="s">
        <v>6</v>
      </c>
      <c r="D750" t="s">
        <v>74</v>
      </c>
      <c r="E750" s="17">
        <v>20.7</v>
      </c>
      <c r="F750" s="1">
        <v>46082</v>
      </c>
    </row>
    <row r="751" spans="1:6" x14ac:dyDescent="0.3">
      <c r="A751" t="s">
        <v>20</v>
      </c>
      <c r="B751" t="s">
        <v>38</v>
      </c>
      <c r="C751" t="s">
        <v>9</v>
      </c>
      <c r="D751" t="s">
        <v>73</v>
      </c>
      <c r="E751" s="17">
        <v>41.8</v>
      </c>
      <c r="F751" s="1">
        <v>45717</v>
      </c>
    </row>
    <row r="752" spans="1:6" x14ac:dyDescent="0.3">
      <c r="A752" t="s">
        <v>20</v>
      </c>
      <c r="B752" t="s">
        <v>38</v>
      </c>
      <c r="C752" t="s">
        <v>9</v>
      </c>
      <c r="D752" t="s">
        <v>74</v>
      </c>
      <c r="E752" s="17">
        <v>40.4</v>
      </c>
      <c r="F752" s="1">
        <v>46082</v>
      </c>
    </row>
    <row r="753" spans="1:6" x14ac:dyDescent="0.3">
      <c r="A753" t="s">
        <v>7</v>
      </c>
      <c r="B753" t="s">
        <v>38</v>
      </c>
      <c r="C753" t="s">
        <v>9</v>
      </c>
      <c r="D753" t="s">
        <v>73</v>
      </c>
      <c r="E753" s="17">
        <v>59.5</v>
      </c>
      <c r="F753" s="1">
        <v>45717</v>
      </c>
    </row>
    <row r="754" spans="1:6" x14ac:dyDescent="0.3">
      <c r="A754" t="s">
        <v>7</v>
      </c>
      <c r="B754" t="s">
        <v>38</v>
      </c>
      <c r="C754" t="s">
        <v>9</v>
      </c>
      <c r="D754" t="s">
        <v>74</v>
      </c>
      <c r="E754" s="17">
        <v>53.7</v>
      </c>
      <c r="F754" s="1">
        <v>46082</v>
      </c>
    </row>
    <row r="755" spans="1:6" x14ac:dyDescent="0.3">
      <c r="A755" t="s">
        <v>11</v>
      </c>
      <c r="B755" t="s">
        <v>38</v>
      </c>
      <c r="C755" t="s">
        <v>4</v>
      </c>
      <c r="D755" t="s">
        <v>73</v>
      </c>
      <c r="E755" s="17">
        <v>783.8</v>
      </c>
      <c r="F755" s="1">
        <v>45717</v>
      </c>
    </row>
    <row r="756" spans="1:6" x14ac:dyDescent="0.3">
      <c r="A756" t="s">
        <v>11</v>
      </c>
      <c r="B756" t="s">
        <v>38</v>
      </c>
      <c r="C756" t="s">
        <v>4</v>
      </c>
      <c r="D756" t="s">
        <v>74</v>
      </c>
      <c r="E756" s="17">
        <v>805.3</v>
      </c>
      <c r="F756" s="1">
        <v>46082</v>
      </c>
    </row>
    <row r="757" spans="1:6" x14ac:dyDescent="0.3">
      <c r="A757" t="s">
        <v>3</v>
      </c>
      <c r="B757" t="s">
        <v>38</v>
      </c>
      <c r="C757" t="s">
        <v>6</v>
      </c>
      <c r="D757" t="s">
        <v>73</v>
      </c>
      <c r="E757" s="17">
        <v>0</v>
      </c>
      <c r="F757" s="1">
        <v>45717</v>
      </c>
    </row>
    <row r="758" spans="1:6" x14ac:dyDescent="0.3">
      <c r="A758" t="s">
        <v>3</v>
      </c>
      <c r="B758" t="s">
        <v>38</v>
      </c>
      <c r="C758" t="s">
        <v>6</v>
      </c>
      <c r="D758" t="s">
        <v>74</v>
      </c>
      <c r="E758" s="17">
        <v>0</v>
      </c>
      <c r="F758" s="1">
        <v>46082</v>
      </c>
    </row>
    <row r="759" spans="1:6" x14ac:dyDescent="0.3">
      <c r="A759" t="s">
        <v>20</v>
      </c>
      <c r="B759" t="s">
        <v>38</v>
      </c>
      <c r="C759" t="s">
        <v>6</v>
      </c>
      <c r="D759" t="s">
        <v>73</v>
      </c>
      <c r="E759" s="17">
        <v>36.200000000000003</v>
      </c>
      <c r="F759" s="1">
        <v>45717</v>
      </c>
    </row>
    <row r="760" spans="1:6" x14ac:dyDescent="0.3">
      <c r="A760" t="s">
        <v>20</v>
      </c>
      <c r="B760" t="s">
        <v>38</v>
      </c>
      <c r="C760" t="s">
        <v>6</v>
      </c>
      <c r="D760" t="s">
        <v>74</v>
      </c>
      <c r="E760" s="17">
        <v>35.5</v>
      </c>
      <c r="F760" s="1">
        <v>46082</v>
      </c>
    </row>
    <row r="761" spans="1:6" x14ac:dyDescent="0.3">
      <c r="A761" t="s">
        <v>17</v>
      </c>
      <c r="B761" t="s">
        <v>38</v>
      </c>
      <c r="C761" t="s">
        <v>4</v>
      </c>
      <c r="D761" t="s">
        <v>73</v>
      </c>
      <c r="E761" s="17">
        <v>0</v>
      </c>
      <c r="F761" s="1">
        <v>45717</v>
      </c>
    </row>
    <row r="762" spans="1:6" x14ac:dyDescent="0.3">
      <c r="A762" t="s">
        <v>17</v>
      </c>
      <c r="B762" t="s">
        <v>38</v>
      </c>
      <c r="C762" t="s">
        <v>4</v>
      </c>
      <c r="D762" t="s">
        <v>74</v>
      </c>
      <c r="E762" s="17">
        <v>0</v>
      </c>
      <c r="F762" s="1">
        <v>46082</v>
      </c>
    </row>
    <row r="763" spans="1:6" x14ac:dyDescent="0.3">
      <c r="A763" t="s">
        <v>28</v>
      </c>
      <c r="B763" t="s">
        <v>38</v>
      </c>
      <c r="C763" t="s">
        <v>9</v>
      </c>
      <c r="D763" t="s">
        <v>73</v>
      </c>
      <c r="E763" s="17">
        <v>89.5</v>
      </c>
      <c r="F763" s="1">
        <v>45717</v>
      </c>
    </row>
    <row r="764" spans="1:6" x14ac:dyDescent="0.3">
      <c r="A764" t="s">
        <v>28</v>
      </c>
      <c r="B764" t="s">
        <v>38</v>
      </c>
      <c r="C764" t="s">
        <v>9</v>
      </c>
      <c r="D764" t="s">
        <v>74</v>
      </c>
      <c r="E764" s="17">
        <v>77.900000000000006</v>
      </c>
      <c r="F764" s="1">
        <v>46082</v>
      </c>
    </row>
    <row r="765" spans="1:6" x14ac:dyDescent="0.3">
      <c r="A765" t="s">
        <v>12</v>
      </c>
      <c r="B765" t="s">
        <v>38</v>
      </c>
      <c r="C765" t="s">
        <v>4</v>
      </c>
      <c r="D765" t="s">
        <v>73</v>
      </c>
      <c r="E765" s="17">
        <v>69.099999999999994</v>
      </c>
      <c r="F765" s="1">
        <v>45717</v>
      </c>
    </row>
    <row r="766" spans="1:6" x14ac:dyDescent="0.3">
      <c r="A766" t="s">
        <v>12</v>
      </c>
      <c r="B766" t="s">
        <v>38</v>
      </c>
      <c r="C766" t="s">
        <v>4</v>
      </c>
      <c r="D766" t="s">
        <v>74</v>
      </c>
      <c r="E766" s="17">
        <v>69.3</v>
      </c>
      <c r="F766" s="1">
        <v>46082</v>
      </c>
    </row>
    <row r="767" spans="1:6" x14ac:dyDescent="0.3">
      <c r="A767" t="s">
        <v>17</v>
      </c>
      <c r="B767" t="s">
        <v>38</v>
      </c>
      <c r="C767" t="s">
        <v>6</v>
      </c>
      <c r="D767" t="s">
        <v>73</v>
      </c>
      <c r="E767" s="17">
        <v>0</v>
      </c>
      <c r="F767" s="1">
        <v>45717</v>
      </c>
    </row>
    <row r="768" spans="1:6" x14ac:dyDescent="0.3">
      <c r="A768" t="s">
        <v>17</v>
      </c>
      <c r="B768" t="s">
        <v>38</v>
      </c>
      <c r="C768" t="s">
        <v>6</v>
      </c>
      <c r="D768" t="s">
        <v>74</v>
      </c>
      <c r="E768" s="17">
        <v>0</v>
      </c>
      <c r="F768" s="1">
        <v>46082</v>
      </c>
    </row>
    <row r="769" spans="1:6" x14ac:dyDescent="0.3">
      <c r="A769" t="s">
        <v>11</v>
      </c>
      <c r="B769" t="s">
        <v>38</v>
      </c>
      <c r="C769" t="s">
        <v>9</v>
      </c>
      <c r="D769" t="s">
        <v>73</v>
      </c>
      <c r="E769" s="17">
        <v>1459.3</v>
      </c>
      <c r="F769" s="1">
        <v>45717</v>
      </c>
    </row>
    <row r="770" spans="1:6" x14ac:dyDescent="0.3">
      <c r="A770" t="s">
        <v>11</v>
      </c>
      <c r="B770" t="s">
        <v>38</v>
      </c>
      <c r="C770" t="s">
        <v>9</v>
      </c>
      <c r="D770" t="s">
        <v>74</v>
      </c>
      <c r="E770" s="17">
        <v>1315</v>
      </c>
      <c r="F770" s="1">
        <v>46082</v>
      </c>
    </row>
    <row r="771" spans="1:6" x14ac:dyDescent="0.3">
      <c r="A771" t="s">
        <v>7</v>
      </c>
      <c r="B771" t="s">
        <v>38</v>
      </c>
      <c r="C771" t="s">
        <v>6</v>
      </c>
      <c r="D771" t="s">
        <v>73</v>
      </c>
      <c r="E771" s="17">
        <v>28.5</v>
      </c>
      <c r="F771" s="1">
        <v>45717</v>
      </c>
    </row>
    <row r="772" spans="1:6" x14ac:dyDescent="0.3">
      <c r="A772" t="s">
        <v>7</v>
      </c>
      <c r="B772" t="s">
        <v>38</v>
      </c>
      <c r="C772" t="s">
        <v>6</v>
      </c>
      <c r="D772" t="s">
        <v>74</v>
      </c>
      <c r="E772" s="17">
        <v>21.9</v>
      </c>
      <c r="F772" s="1">
        <v>46082</v>
      </c>
    </row>
    <row r="773" spans="1:6" x14ac:dyDescent="0.3">
      <c r="A773" t="s">
        <v>3</v>
      </c>
      <c r="B773" t="s">
        <v>38</v>
      </c>
      <c r="C773" t="s">
        <v>4</v>
      </c>
      <c r="D773" t="s">
        <v>73</v>
      </c>
      <c r="E773" s="17">
        <v>0</v>
      </c>
      <c r="F773" s="1">
        <v>45717</v>
      </c>
    </row>
    <row r="774" spans="1:6" x14ac:dyDescent="0.3">
      <c r="A774" t="s">
        <v>3</v>
      </c>
      <c r="B774" t="s">
        <v>38</v>
      </c>
      <c r="C774" t="s">
        <v>4</v>
      </c>
      <c r="D774" t="s">
        <v>74</v>
      </c>
      <c r="E774" s="17">
        <v>0</v>
      </c>
      <c r="F774" s="1">
        <v>46082</v>
      </c>
    </row>
    <row r="775" spans="1:6" x14ac:dyDescent="0.3">
      <c r="A775" t="s">
        <v>16</v>
      </c>
      <c r="B775" t="s">
        <v>38</v>
      </c>
      <c r="C775" t="s">
        <v>9</v>
      </c>
      <c r="D775" t="s">
        <v>73</v>
      </c>
      <c r="E775" s="17">
        <v>49.4</v>
      </c>
      <c r="F775" s="1">
        <v>45717</v>
      </c>
    </row>
    <row r="776" spans="1:6" x14ac:dyDescent="0.3">
      <c r="A776" t="s">
        <v>16</v>
      </c>
      <c r="B776" t="s">
        <v>38</v>
      </c>
      <c r="C776" t="s">
        <v>9</v>
      </c>
      <c r="D776" t="s">
        <v>74</v>
      </c>
      <c r="E776" s="17">
        <v>45.6</v>
      </c>
      <c r="F776" s="1">
        <v>46082</v>
      </c>
    </row>
    <row r="777" spans="1:6" x14ac:dyDescent="0.3">
      <c r="A777" t="s">
        <v>8</v>
      </c>
      <c r="B777" t="s">
        <v>38</v>
      </c>
      <c r="C777" t="s">
        <v>9</v>
      </c>
      <c r="D777" t="s">
        <v>73</v>
      </c>
      <c r="E777" s="17">
        <v>88</v>
      </c>
      <c r="F777" s="1">
        <v>45717</v>
      </c>
    </row>
    <row r="778" spans="1:6" x14ac:dyDescent="0.3">
      <c r="A778" t="s">
        <v>8</v>
      </c>
      <c r="B778" t="s">
        <v>38</v>
      </c>
      <c r="C778" t="s">
        <v>9</v>
      </c>
      <c r="D778" t="s">
        <v>74</v>
      </c>
      <c r="E778" s="17">
        <v>72</v>
      </c>
      <c r="F778" s="1">
        <v>46082</v>
      </c>
    </row>
    <row r="779" spans="1:6" x14ac:dyDescent="0.3">
      <c r="A779" t="s">
        <v>18</v>
      </c>
      <c r="B779" t="s">
        <v>38</v>
      </c>
      <c r="C779" t="s">
        <v>6</v>
      </c>
      <c r="D779" t="s">
        <v>73</v>
      </c>
      <c r="E779" s="17">
        <v>35.6</v>
      </c>
      <c r="F779" s="1">
        <v>45717</v>
      </c>
    </row>
    <row r="780" spans="1:6" x14ac:dyDescent="0.3">
      <c r="A780" t="s">
        <v>18</v>
      </c>
      <c r="B780" t="s">
        <v>38</v>
      </c>
      <c r="C780" t="s">
        <v>6</v>
      </c>
      <c r="D780" t="s">
        <v>74</v>
      </c>
      <c r="E780" s="17">
        <v>28.5</v>
      </c>
      <c r="F780" s="1">
        <v>46082</v>
      </c>
    </row>
    <row r="781" spans="1:6" x14ac:dyDescent="0.3">
      <c r="A781" t="s">
        <v>23</v>
      </c>
      <c r="B781" t="s">
        <v>38</v>
      </c>
      <c r="C781" t="s">
        <v>6</v>
      </c>
      <c r="D781" t="s">
        <v>73</v>
      </c>
      <c r="E781" s="17">
        <v>36.5</v>
      </c>
      <c r="F781" s="1">
        <v>45717</v>
      </c>
    </row>
    <row r="782" spans="1:6" x14ac:dyDescent="0.3">
      <c r="A782" t="s">
        <v>23</v>
      </c>
      <c r="B782" t="s">
        <v>38</v>
      </c>
      <c r="C782" t="s">
        <v>6</v>
      </c>
      <c r="D782" t="s">
        <v>74</v>
      </c>
      <c r="E782" s="17">
        <v>27.1</v>
      </c>
      <c r="F782" s="1">
        <v>46082</v>
      </c>
    </row>
    <row r="783" spans="1:6" x14ac:dyDescent="0.3">
      <c r="A783" t="s">
        <v>7</v>
      </c>
      <c r="B783" t="s">
        <v>38</v>
      </c>
      <c r="C783" t="s">
        <v>4</v>
      </c>
      <c r="D783" t="s">
        <v>73</v>
      </c>
      <c r="E783" s="17">
        <v>31</v>
      </c>
      <c r="F783" s="1">
        <v>45717</v>
      </c>
    </row>
    <row r="784" spans="1:6" x14ac:dyDescent="0.3">
      <c r="A784" t="s">
        <v>7</v>
      </c>
      <c r="B784" t="s">
        <v>38</v>
      </c>
      <c r="C784" t="s">
        <v>4</v>
      </c>
      <c r="D784" t="s">
        <v>74</v>
      </c>
      <c r="E784" s="17">
        <v>31.8</v>
      </c>
      <c r="F784" s="1">
        <v>46082</v>
      </c>
    </row>
    <row r="785" spans="1:6" x14ac:dyDescent="0.3">
      <c r="A785" t="s">
        <v>18</v>
      </c>
      <c r="B785" t="s">
        <v>38</v>
      </c>
      <c r="C785" t="s">
        <v>9</v>
      </c>
      <c r="D785" t="s">
        <v>73</v>
      </c>
      <c r="E785" s="17">
        <v>154.6</v>
      </c>
      <c r="F785" s="1">
        <v>45717</v>
      </c>
    </row>
    <row r="786" spans="1:6" x14ac:dyDescent="0.3">
      <c r="A786" t="s">
        <v>18</v>
      </c>
      <c r="B786" t="s">
        <v>38</v>
      </c>
      <c r="C786" t="s">
        <v>9</v>
      </c>
      <c r="D786" t="s">
        <v>74</v>
      </c>
      <c r="E786" s="17">
        <v>145.69999999999999</v>
      </c>
      <c r="F786" s="1">
        <v>46082</v>
      </c>
    </row>
    <row r="787" spans="1:6" x14ac:dyDescent="0.3">
      <c r="A787" t="s">
        <v>5</v>
      </c>
      <c r="B787" t="s">
        <v>38</v>
      </c>
      <c r="C787" t="s">
        <v>9</v>
      </c>
      <c r="D787" t="s">
        <v>73</v>
      </c>
      <c r="E787" s="17">
        <v>34</v>
      </c>
      <c r="F787" s="1">
        <v>45717</v>
      </c>
    </row>
    <row r="788" spans="1:6" x14ac:dyDescent="0.3">
      <c r="A788" t="s">
        <v>5</v>
      </c>
      <c r="B788" t="s">
        <v>38</v>
      </c>
      <c r="C788" t="s">
        <v>9</v>
      </c>
      <c r="D788" t="s">
        <v>74</v>
      </c>
      <c r="E788" s="17">
        <v>30.2</v>
      </c>
      <c r="F788" s="1">
        <v>46082</v>
      </c>
    </row>
    <row r="789" spans="1:6" x14ac:dyDescent="0.3">
      <c r="A789" t="s">
        <v>12</v>
      </c>
      <c r="B789" t="s">
        <v>38</v>
      </c>
      <c r="C789" t="s">
        <v>6</v>
      </c>
      <c r="D789" t="s">
        <v>73</v>
      </c>
      <c r="E789" s="17">
        <v>13.5</v>
      </c>
      <c r="F789" s="1">
        <v>45717</v>
      </c>
    </row>
    <row r="790" spans="1:6" x14ac:dyDescent="0.3">
      <c r="A790" t="s">
        <v>12</v>
      </c>
      <c r="B790" t="s">
        <v>38</v>
      </c>
      <c r="C790" t="s">
        <v>6</v>
      </c>
      <c r="D790" t="s">
        <v>74</v>
      </c>
      <c r="E790" s="17">
        <v>12.7</v>
      </c>
      <c r="F790" s="1">
        <v>46082</v>
      </c>
    </row>
    <row r="791" spans="1:6" x14ac:dyDescent="0.3">
      <c r="A791" t="s">
        <v>22</v>
      </c>
      <c r="B791" t="s">
        <v>38</v>
      </c>
      <c r="C791" t="s">
        <v>6</v>
      </c>
      <c r="D791" t="s">
        <v>73</v>
      </c>
      <c r="E791" s="17">
        <v>17.100000000000001</v>
      </c>
      <c r="F791" s="1">
        <v>45717</v>
      </c>
    </row>
    <row r="792" spans="1:6" x14ac:dyDescent="0.3">
      <c r="A792" t="s">
        <v>22</v>
      </c>
      <c r="B792" t="s">
        <v>38</v>
      </c>
      <c r="C792" t="s">
        <v>6</v>
      </c>
      <c r="D792" t="s">
        <v>74</v>
      </c>
      <c r="E792" s="17">
        <v>12.2</v>
      </c>
      <c r="F792" s="1">
        <v>46082</v>
      </c>
    </row>
    <row r="793" spans="1:6" x14ac:dyDescent="0.3">
      <c r="A793" t="s">
        <v>18</v>
      </c>
      <c r="B793" t="s">
        <v>38</v>
      </c>
      <c r="C793" t="s">
        <v>4</v>
      </c>
      <c r="D793" t="s">
        <v>73</v>
      </c>
      <c r="E793" s="17">
        <v>119</v>
      </c>
      <c r="F793" s="1">
        <v>45717</v>
      </c>
    </row>
    <row r="794" spans="1:6" x14ac:dyDescent="0.3">
      <c r="A794" t="s">
        <v>18</v>
      </c>
      <c r="B794" t="s">
        <v>38</v>
      </c>
      <c r="C794" t="s">
        <v>4</v>
      </c>
      <c r="D794" t="s">
        <v>74</v>
      </c>
      <c r="E794" s="17">
        <v>117.2</v>
      </c>
      <c r="F794" s="1">
        <v>46082</v>
      </c>
    </row>
    <row r="795" spans="1:6" x14ac:dyDescent="0.3">
      <c r="A795" t="s">
        <v>21</v>
      </c>
      <c r="B795" t="s">
        <v>38</v>
      </c>
      <c r="C795" t="s">
        <v>6</v>
      </c>
      <c r="D795" t="s">
        <v>73</v>
      </c>
      <c r="E795" s="17">
        <v>42.9</v>
      </c>
      <c r="F795" s="1">
        <v>45717</v>
      </c>
    </row>
    <row r="796" spans="1:6" x14ac:dyDescent="0.3">
      <c r="A796" t="s">
        <v>21</v>
      </c>
      <c r="B796" t="s">
        <v>38</v>
      </c>
      <c r="C796" t="s">
        <v>6</v>
      </c>
      <c r="D796" t="s">
        <v>74</v>
      </c>
      <c r="E796" s="17">
        <v>29.2</v>
      </c>
      <c r="F796" s="1">
        <v>46082</v>
      </c>
    </row>
    <row r="797" spans="1:6" x14ac:dyDescent="0.3">
      <c r="A797" t="s">
        <v>10</v>
      </c>
      <c r="B797" t="s">
        <v>38</v>
      </c>
      <c r="C797" t="s">
        <v>9</v>
      </c>
      <c r="D797" t="s">
        <v>73</v>
      </c>
      <c r="E797" s="17">
        <v>124.2</v>
      </c>
      <c r="F797" s="1">
        <v>45717</v>
      </c>
    </row>
    <row r="798" spans="1:6" x14ac:dyDescent="0.3">
      <c r="A798" t="s">
        <v>10</v>
      </c>
      <c r="B798" t="s">
        <v>38</v>
      </c>
      <c r="C798" t="s">
        <v>9</v>
      </c>
      <c r="D798" t="s">
        <v>74</v>
      </c>
      <c r="E798" s="17">
        <v>122</v>
      </c>
      <c r="F798" s="1">
        <v>46082</v>
      </c>
    </row>
    <row r="799" spans="1:6" x14ac:dyDescent="0.3">
      <c r="A799" t="s">
        <v>30</v>
      </c>
      <c r="B799" t="s">
        <v>38</v>
      </c>
      <c r="C799" t="s">
        <v>6</v>
      </c>
      <c r="D799" t="s">
        <v>73</v>
      </c>
      <c r="E799" s="17">
        <v>23.1</v>
      </c>
      <c r="F799" s="1">
        <v>45717</v>
      </c>
    </row>
    <row r="800" spans="1:6" x14ac:dyDescent="0.3">
      <c r="A800" t="s">
        <v>30</v>
      </c>
      <c r="B800" t="s">
        <v>38</v>
      </c>
      <c r="C800" t="s">
        <v>6</v>
      </c>
      <c r="D800" t="s">
        <v>74</v>
      </c>
      <c r="E800" s="17">
        <v>21.2</v>
      </c>
      <c r="F800" s="1">
        <v>46082</v>
      </c>
    </row>
    <row r="801" spans="1:6" x14ac:dyDescent="0.3">
      <c r="A801" t="s">
        <v>28</v>
      </c>
      <c r="B801" t="s">
        <v>38</v>
      </c>
      <c r="C801" t="s">
        <v>4</v>
      </c>
      <c r="D801" t="s">
        <v>73</v>
      </c>
      <c r="E801" s="17">
        <v>50.4</v>
      </c>
      <c r="F801" s="1">
        <v>45717</v>
      </c>
    </row>
    <row r="802" spans="1:6" x14ac:dyDescent="0.3">
      <c r="A802" t="s">
        <v>28</v>
      </c>
      <c r="B802" t="s">
        <v>38</v>
      </c>
      <c r="C802" t="s">
        <v>4</v>
      </c>
      <c r="D802" t="s">
        <v>74</v>
      </c>
      <c r="E802" s="17">
        <v>56.8</v>
      </c>
      <c r="F802" s="1">
        <v>46082</v>
      </c>
    </row>
    <row r="803" spans="1:6" x14ac:dyDescent="0.3">
      <c r="A803" t="s">
        <v>24</v>
      </c>
      <c r="B803" t="s">
        <v>38</v>
      </c>
      <c r="C803" t="s">
        <v>4</v>
      </c>
      <c r="D803" t="s">
        <v>73</v>
      </c>
      <c r="E803" s="17">
        <v>0</v>
      </c>
      <c r="F803" s="1">
        <v>45717</v>
      </c>
    </row>
    <row r="804" spans="1:6" x14ac:dyDescent="0.3">
      <c r="A804" t="s">
        <v>24</v>
      </c>
      <c r="B804" t="s">
        <v>38</v>
      </c>
      <c r="C804" t="s">
        <v>4</v>
      </c>
      <c r="D804" t="s">
        <v>74</v>
      </c>
      <c r="E804" s="17">
        <v>0</v>
      </c>
      <c r="F804" s="1">
        <v>46082</v>
      </c>
    </row>
    <row r="805" spans="1:6" x14ac:dyDescent="0.3">
      <c r="A805" t="s">
        <v>25</v>
      </c>
      <c r="B805" t="s">
        <v>38</v>
      </c>
      <c r="C805" t="s">
        <v>4</v>
      </c>
      <c r="D805" t="s">
        <v>73</v>
      </c>
      <c r="E805" s="17">
        <v>2.2999999999999998</v>
      </c>
      <c r="F805" s="1">
        <v>45717</v>
      </c>
    </row>
    <row r="806" spans="1:6" x14ac:dyDescent="0.3">
      <c r="A806" t="s">
        <v>25</v>
      </c>
      <c r="B806" t="s">
        <v>38</v>
      </c>
      <c r="C806" t="s">
        <v>4</v>
      </c>
      <c r="D806" t="s">
        <v>74</v>
      </c>
      <c r="E806" s="17">
        <v>1.9</v>
      </c>
      <c r="F806" s="1">
        <v>46082</v>
      </c>
    </row>
    <row r="807" spans="1:6" x14ac:dyDescent="0.3">
      <c r="A807" t="s">
        <v>29</v>
      </c>
      <c r="B807" t="s">
        <v>38</v>
      </c>
      <c r="C807" t="s">
        <v>9</v>
      </c>
      <c r="D807" t="s">
        <v>73</v>
      </c>
      <c r="E807" s="17">
        <v>57.7</v>
      </c>
      <c r="F807" s="1">
        <v>45717</v>
      </c>
    </row>
    <row r="808" spans="1:6" x14ac:dyDescent="0.3">
      <c r="A808" t="s">
        <v>29</v>
      </c>
      <c r="B808" t="s">
        <v>38</v>
      </c>
      <c r="C808" t="s">
        <v>9</v>
      </c>
      <c r="D808" t="s">
        <v>74</v>
      </c>
      <c r="E808" s="17">
        <v>55.1</v>
      </c>
      <c r="F808" s="1">
        <v>46082</v>
      </c>
    </row>
    <row r="809" spans="1:6" x14ac:dyDescent="0.3">
      <c r="A809" t="s">
        <v>24</v>
      </c>
      <c r="B809" t="s">
        <v>38</v>
      </c>
      <c r="C809" t="s">
        <v>6</v>
      </c>
      <c r="D809" t="s">
        <v>73</v>
      </c>
      <c r="E809" s="17">
        <v>0</v>
      </c>
      <c r="F809" s="1">
        <v>45717</v>
      </c>
    </row>
    <row r="810" spans="1:6" x14ac:dyDescent="0.3">
      <c r="A810" t="s">
        <v>24</v>
      </c>
      <c r="B810" t="s">
        <v>38</v>
      </c>
      <c r="C810" t="s">
        <v>6</v>
      </c>
      <c r="D810" t="s">
        <v>74</v>
      </c>
      <c r="E810" s="17">
        <v>0</v>
      </c>
      <c r="F810" s="1">
        <v>46082</v>
      </c>
    </row>
    <row r="811" spans="1:6" x14ac:dyDescent="0.3">
      <c r="A811" t="s">
        <v>26</v>
      </c>
      <c r="B811" t="s">
        <v>38</v>
      </c>
      <c r="C811" t="s">
        <v>9</v>
      </c>
      <c r="D811" t="s">
        <v>73</v>
      </c>
      <c r="E811" s="17">
        <v>109.3</v>
      </c>
      <c r="F811" s="1">
        <v>45717</v>
      </c>
    </row>
    <row r="812" spans="1:6" x14ac:dyDescent="0.3">
      <c r="A812" t="s">
        <v>26</v>
      </c>
      <c r="B812" t="s">
        <v>38</v>
      </c>
      <c r="C812" t="s">
        <v>9</v>
      </c>
      <c r="D812" t="s">
        <v>74</v>
      </c>
      <c r="E812" s="17">
        <v>110.3</v>
      </c>
      <c r="F812" s="1">
        <v>46082</v>
      </c>
    </row>
    <row r="813" spans="1:6" x14ac:dyDescent="0.3">
      <c r="A813" t="s">
        <v>27</v>
      </c>
      <c r="B813" t="s">
        <v>38</v>
      </c>
      <c r="C813" t="s">
        <v>6</v>
      </c>
      <c r="D813" t="s">
        <v>73</v>
      </c>
      <c r="E813" s="17">
        <v>67.5</v>
      </c>
      <c r="F813" s="1">
        <v>45717</v>
      </c>
    </row>
    <row r="814" spans="1:6" x14ac:dyDescent="0.3">
      <c r="A814" t="s">
        <v>27</v>
      </c>
      <c r="B814" t="s">
        <v>38</v>
      </c>
      <c r="C814" t="s">
        <v>6</v>
      </c>
      <c r="D814" t="s">
        <v>74</v>
      </c>
      <c r="E814" s="17">
        <v>57.1</v>
      </c>
      <c r="F814" s="1">
        <v>46082</v>
      </c>
    </row>
    <row r="815" spans="1:6" x14ac:dyDescent="0.3">
      <c r="A815" t="s">
        <v>28</v>
      </c>
      <c r="B815" t="s">
        <v>38</v>
      </c>
      <c r="C815" t="s">
        <v>6</v>
      </c>
      <c r="D815" t="s">
        <v>73</v>
      </c>
      <c r="E815" s="17">
        <v>39.1</v>
      </c>
      <c r="F815" s="1">
        <v>45717</v>
      </c>
    </row>
    <row r="816" spans="1:6" x14ac:dyDescent="0.3">
      <c r="A816" t="s">
        <v>28</v>
      </c>
      <c r="B816" t="s">
        <v>38</v>
      </c>
      <c r="C816" t="s">
        <v>6</v>
      </c>
      <c r="D816" t="s">
        <v>74</v>
      </c>
      <c r="E816" s="17">
        <v>21.1</v>
      </c>
      <c r="F816" s="1">
        <v>46082</v>
      </c>
    </row>
    <row r="817" spans="1:6" x14ac:dyDescent="0.3">
      <c r="A817" t="s">
        <v>24</v>
      </c>
      <c r="B817" t="s">
        <v>38</v>
      </c>
      <c r="C817" t="s">
        <v>9</v>
      </c>
      <c r="D817" t="s">
        <v>73</v>
      </c>
      <c r="E817" s="17">
        <v>10.7</v>
      </c>
      <c r="F817" s="1">
        <v>45717</v>
      </c>
    </row>
    <row r="818" spans="1:6" x14ac:dyDescent="0.3">
      <c r="A818" t="s">
        <v>24</v>
      </c>
      <c r="B818" t="s">
        <v>38</v>
      </c>
      <c r="C818" t="s">
        <v>9</v>
      </c>
      <c r="D818" t="s">
        <v>74</v>
      </c>
      <c r="E818" s="17">
        <v>9.1</v>
      </c>
      <c r="F818" s="1">
        <v>46082</v>
      </c>
    </row>
    <row r="819" spans="1:6" x14ac:dyDescent="0.3">
      <c r="A819" t="s">
        <v>27</v>
      </c>
      <c r="B819" t="s">
        <v>38</v>
      </c>
      <c r="C819" t="s">
        <v>9</v>
      </c>
      <c r="D819" t="s">
        <v>73</v>
      </c>
      <c r="E819" s="17">
        <v>141.9</v>
      </c>
      <c r="F819" s="1">
        <v>45717</v>
      </c>
    </row>
    <row r="820" spans="1:6" x14ac:dyDescent="0.3">
      <c r="A820" t="s">
        <v>27</v>
      </c>
      <c r="B820" t="s">
        <v>38</v>
      </c>
      <c r="C820" t="s">
        <v>9</v>
      </c>
      <c r="D820" t="s">
        <v>74</v>
      </c>
      <c r="E820" s="17">
        <v>132.9</v>
      </c>
      <c r="F820" s="1">
        <v>46082</v>
      </c>
    </row>
    <row r="821" spans="1:6" x14ac:dyDescent="0.3">
      <c r="A821" t="s">
        <v>30</v>
      </c>
      <c r="B821" t="s">
        <v>38</v>
      </c>
      <c r="C821" t="s">
        <v>9</v>
      </c>
      <c r="D821" t="s">
        <v>73</v>
      </c>
      <c r="E821" s="17">
        <v>93.8</v>
      </c>
      <c r="F821" s="1">
        <v>45717</v>
      </c>
    </row>
    <row r="822" spans="1:6" x14ac:dyDescent="0.3">
      <c r="A822" t="s">
        <v>30</v>
      </c>
      <c r="B822" t="s">
        <v>38</v>
      </c>
      <c r="C822" t="s">
        <v>9</v>
      </c>
      <c r="D822" t="s">
        <v>74</v>
      </c>
      <c r="E822" s="17">
        <v>97.7</v>
      </c>
      <c r="F822" s="1">
        <v>46082</v>
      </c>
    </row>
    <row r="823" spans="1:6" x14ac:dyDescent="0.3">
      <c r="A823" t="s">
        <v>25</v>
      </c>
      <c r="B823" t="s">
        <v>38</v>
      </c>
      <c r="C823" t="s">
        <v>6</v>
      </c>
      <c r="D823" t="s">
        <v>73</v>
      </c>
      <c r="E823" s="17">
        <v>24.1</v>
      </c>
      <c r="F823" s="1">
        <v>45717</v>
      </c>
    </row>
    <row r="824" spans="1:6" x14ac:dyDescent="0.3">
      <c r="A824" t="s">
        <v>25</v>
      </c>
      <c r="B824" t="s">
        <v>38</v>
      </c>
      <c r="C824" t="s">
        <v>6</v>
      </c>
      <c r="D824" t="s">
        <v>74</v>
      </c>
      <c r="E824" s="17">
        <v>16.100000000000001</v>
      </c>
      <c r="F824" s="1">
        <v>46082</v>
      </c>
    </row>
    <row r="825" spans="1:6" x14ac:dyDescent="0.3">
      <c r="A825" t="s">
        <v>29</v>
      </c>
      <c r="B825" t="s">
        <v>38</v>
      </c>
      <c r="C825" t="s">
        <v>6</v>
      </c>
      <c r="D825" t="s">
        <v>73</v>
      </c>
      <c r="E825" s="17">
        <v>16.8</v>
      </c>
      <c r="F825" s="1">
        <v>45717</v>
      </c>
    </row>
    <row r="826" spans="1:6" x14ac:dyDescent="0.3">
      <c r="A826" t="s">
        <v>29</v>
      </c>
      <c r="B826" t="s">
        <v>38</v>
      </c>
      <c r="C826" t="s">
        <v>6</v>
      </c>
      <c r="D826" t="s">
        <v>74</v>
      </c>
      <c r="E826" s="17">
        <v>16.2</v>
      </c>
      <c r="F826" s="1">
        <v>46082</v>
      </c>
    </row>
    <row r="827" spans="1:6" x14ac:dyDescent="0.3">
      <c r="A827" t="s">
        <v>30</v>
      </c>
      <c r="B827" t="s">
        <v>38</v>
      </c>
      <c r="C827" t="s">
        <v>4</v>
      </c>
      <c r="D827" t="s">
        <v>73</v>
      </c>
      <c r="E827" s="17">
        <v>70.7</v>
      </c>
      <c r="F827" s="1">
        <v>45717</v>
      </c>
    </row>
    <row r="828" spans="1:6" x14ac:dyDescent="0.3">
      <c r="A828" t="s">
        <v>30</v>
      </c>
      <c r="B828" t="s">
        <v>38</v>
      </c>
      <c r="C828" t="s">
        <v>4</v>
      </c>
      <c r="D828" t="s">
        <v>74</v>
      </c>
      <c r="E828" s="17">
        <v>76.5</v>
      </c>
      <c r="F828" s="1">
        <v>46082</v>
      </c>
    </row>
    <row r="829" spans="1:6" x14ac:dyDescent="0.3">
      <c r="A829" t="s">
        <v>26</v>
      </c>
      <c r="B829" t="s">
        <v>38</v>
      </c>
      <c r="C829" t="s">
        <v>6</v>
      </c>
      <c r="D829" t="s">
        <v>73</v>
      </c>
      <c r="E829" s="17">
        <v>13.5</v>
      </c>
      <c r="F829" s="1">
        <v>45717</v>
      </c>
    </row>
    <row r="830" spans="1:6" x14ac:dyDescent="0.3">
      <c r="A830" t="s">
        <v>26</v>
      </c>
      <c r="B830" t="s">
        <v>38</v>
      </c>
      <c r="C830" t="s">
        <v>6</v>
      </c>
      <c r="D830" t="s">
        <v>74</v>
      </c>
      <c r="E830" s="17">
        <v>11.7</v>
      </c>
      <c r="F830" s="1">
        <v>46082</v>
      </c>
    </row>
    <row r="831" spans="1:6" x14ac:dyDescent="0.3">
      <c r="A831" t="s">
        <v>27</v>
      </c>
      <c r="B831" t="s">
        <v>38</v>
      </c>
      <c r="C831" t="s">
        <v>4</v>
      </c>
      <c r="D831" t="s">
        <v>73</v>
      </c>
      <c r="E831" s="17">
        <v>74.400000000000006</v>
      </c>
      <c r="F831" s="1">
        <v>45717</v>
      </c>
    </row>
    <row r="832" spans="1:6" x14ac:dyDescent="0.3">
      <c r="A832" t="s">
        <v>27</v>
      </c>
      <c r="B832" t="s">
        <v>38</v>
      </c>
      <c r="C832" t="s">
        <v>4</v>
      </c>
      <c r="D832" t="s">
        <v>74</v>
      </c>
      <c r="E832" s="17">
        <v>75.8</v>
      </c>
      <c r="F832" s="1">
        <v>46082</v>
      </c>
    </row>
    <row r="833" spans="1:6" x14ac:dyDescent="0.3">
      <c r="A833" t="s">
        <v>26</v>
      </c>
      <c r="B833" t="s">
        <v>38</v>
      </c>
      <c r="C833" t="s">
        <v>4</v>
      </c>
      <c r="D833" t="s">
        <v>73</v>
      </c>
      <c r="E833" s="17">
        <v>95.8</v>
      </c>
      <c r="F833" s="1">
        <v>45717</v>
      </c>
    </row>
    <row r="834" spans="1:6" x14ac:dyDescent="0.3">
      <c r="A834" t="s">
        <v>26</v>
      </c>
      <c r="B834" t="s">
        <v>38</v>
      </c>
      <c r="C834" t="s">
        <v>4</v>
      </c>
      <c r="D834" t="s">
        <v>74</v>
      </c>
      <c r="E834" s="17">
        <v>98.6</v>
      </c>
      <c r="F834" s="1">
        <v>46082</v>
      </c>
    </row>
    <row r="835" spans="1:6" x14ac:dyDescent="0.3">
      <c r="A835" t="s">
        <v>29</v>
      </c>
      <c r="B835" t="s">
        <v>38</v>
      </c>
      <c r="C835" t="s">
        <v>4</v>
      </c>
      <c r="D835" t="s">
        <v>73</v>
      </c>
      <c r="E835" s="17">
        <v>40.9</v>
      </c>
      <c r="F835" s="1">
        <v>45717</v>
      </c>
    </row>
    <row r="836" spans="1:6" x14ac:dyDescent="0.3">
      <c r="A836" t="s">
        <v>29</v>
      </c>
      <c r="B836" t="s">
        <v>38</v>
      </c>
      <c r="C836" t="s">
        <v>4</v>
      </c>
      <c r="D836" t="s">
        <v>74</v>
      </c>
      <c r="E836" s="17">
        <v>38.9</v>
      </c>
      <c r="F836" s="1">
        <v>46082</v>
      </c>
    </row>
    <row r="837" spans="1:6" x14ac:dyDescent="0.3">
      <c r="A837" t="s">
        <v>25</v>
      </c>
      <c r="B837" t="s">
        <v>38</v>
      </c>
      <c r="C837" t="s">
        <v>9</v>
      </c>
      <c r="D837" t="s">
        <v>73</v>
      </c>
      <c r="E837" s="17">
        <v>26.4</v>
      </c>
      <c r="F837" s="1">
        <v>45717</v>
      </c>
    </row>
    <row r="838" spans="1:6" x14ac:dyDescent="0.3">
      <c r="A838" t="s">
        <v>25</v>
      </c>
      <c r="B838" t="s">
        <v>38</v>
      </c>
      <c r="C838" t="s">
        <v>9</v>
      </c>
      <c r="D838" t="s">
        <v>74</v>
      </c>
      <c r="E838" s="17">
        <v>18</v>
      </c>
      <c r="F838" s="1">
        <v>46082</v>
      </c>
    </row>
    <row r="839" spans="1:6" x14ac:dyDescent="0.3">
      <c r="A839" t="s">
        <v>3</v>
      </c>
      <c r="B839" t="s">
        <v>38</v>
      </c>
      <c r="C839" t="s">
        <v>9</v>
      </c>
      <c r="D839" t="s">
        <v>75</v>
      </c>
      <c r="E839" s="17">
        <v>1.7</v>
      </c>
      <c r="F839" s="1">
        <v>46113</v>
      </c>
    </row>
    <row r="840" spans="1:6" x14ac:dyDescent="0.3">
      <c r="A840" t="s">
        <v>19</v>
      </c>
      <c r="B840" t="s">
        <v>38</v>
      </c>
      <c r="C840" t="s">
        <v>4</v>
      </c>
      <c r="D840" t="s">
        <v>75</v>
      </c>
      <c r="E840" s="17">
        <v>25.5</v>
      </c>
      <c r="F840" s="1">
        <v>46113</v>
      </c>
    </row>
    <row r="841" spans="1:6" x14ac:dyDescent="0.3">
      <c r="A841" t="s">
        <v>8</v>
      </c>
      <c r="B841" t="s">
        <v>38</v>
      </c>
      <c r="C841" t="s">
        <v>4</v>
      </c>
      <c r="D841" t="s">
        <v>75</v>
      </c>
      <c r="E841" s="17">
        <v>54.2</v>
      </c>
      <c r="F841" s="1">
        <v>46113</v>
      </c>
    </row>
    <row r="842" spans="1:6" x14ac:dyDescent="0.3">
      <c r="A842" t="s">
        <v>23</v>
      </c>
      <c r="B842" t="s">
        <v>38</v>
      </c>
      <c r="C842" t="s">
        <v>9</v>
      </c>
      <c r="D842" t="s">
        <v>75</v>
      </c>
      <c r="E842" s="17">
        <v>67.8</v>
      </c>
      <c r="F842" s="1">
        <v>46113</v>
      </c>
    </row>
    <row r="843" spans="1:6" x14ac:dyDescent="0.3">
      <c r="A843" t="s">
        <v>22</v>
      </c>
      <c r="B843" t="s">
        <v>38</v>
      </c>
      <c r="C843" t="s">
        <v>4</v>
      </c>
      <c r="D843" t="s">
        <v>75</v>
      </c>
      <c r="E843" s="17">
        <v>45.5</v>
      </c>
      <c r="F843" s="1">
        <v>46113</v>
      </c>
    </row>
    <row r="844" spans="1:6" x14ac:dyDescent="0.3">
      <c r="A844" t="s">
        <v>17</v>
      </c>
      <c r="B844" t="s">
        <v>38</v>
      </c>
      <c r="C844" t="s">
        <v>9</v>
      </c>
      <c r="D844" t="s">
        <v>75</v>
      </c>
      <c r="E844" s="17">
        <v>0</v>
      </c>
      <c r="F844" s="1">
        <v>46113</v>
      </c>
    </row>
    <row r="845" spans="1:6" x14ac:dyDescent="0.3">
      <c r="A845" t="s">
        <v>21</v>
      </c>
      <c r="B845" t="s">
        <v>38</v>
      </c>
      <c r="C845" t="s">
        <v>4</v>
      </c>
      <c r="D845" t="s">
        <v>75</v>
      </c>
      <c r="E845" s="17">
        <v>12.4</v>
      </c>
      <c r="F845" s="1">
        <v>46113</v>
      </c>
    </row>
    <row r="846" spans="1:6" x14ac:dyDescent="0.3">
      <c r="A846" t="s">
        <v>14</v>
      </c>
      <c r="B846" t="s">
        <v>38</v>
      </c>
      <c r="C846" t="s">
        <v>9</v>
      </c>
      <c r="D846" t="s">
        <v>75</v>
      </c>
      <c r="E846" s="17">
        <v>3.4</v>
      </c>
      <c r="F846" s="1">
        <v>46113</v>
      </c>
    </row>
    <row r="847" spans="1:6" x14ac:dyDescent="0.3">
      <c r="A847" t="s">
        <v>13</v>
      </c>
      <c r="B847" t="s">
        <v>38</v>
      </c>
      <c r="C847" t="s">
        <v>4</v>
      </c>
      <c r="D847" t="s">
        <v>75</v>
      </c>
      <c r="E847" s="17">
        <v>0.3</v>
      </c>
      <c r="F847" s="1">
        <v>46113</v>
      </c>
    </row>
    <row r="848" spans="1:6" x14ac:dyDescent="0.3">
      <c r="A848" t="s">
        <v>13</v>
      </c>
      <c r="B848" t="s">
        <v>38</v>
      </c>
      <c r="C848" t="s">
        <v>9</v>
      </c>
      <c r="D848" t="s">
        <v>75</v>
      </c>
      <c r="E848" s="17">
        <v>27.8</v>
      </c>
      <c r="F848" s="1">
        <v>46113</v>
      </c>
    </row>
    <row r="849" spans="1:6" x14ac:dyDescent="0.3">
      <c r="A849" t="s">
        <v>11</v>
      </c>
      <c r="B849" t="s">
        <v>38</v>
      </c>
      <c r="C849" t="s">
        <v>6</v>
      </c>
      <c r="D849" t="s">
        <v>75</v>
      </c>
      <c r="E849" s="17">
        <v>759.8</v>
      </c>
      <c r="F849" s="1">
        <v>46113</v>
      </c>
    </row>
    <row r="850" spans="1:6" x14ac:dyDescent="0.3">
      <c r="A850" t="s">
        <v>15</v>
      </c>
      <c r="B850" t="s">
        <v>38</v>
      </c>
      <c r="C850" t="s">
        <v>4</v>
      </c>
      <c r="D850" t="s">
        <v>75</v>
      </c>
      <c r="E850" s="17">
        <v>6.4</v>
      </c>
      <c r="F850" s="1">
        <v>46113</v>
      </c>
    </row>
    <row r="851" spans="1:6" x14ac:dyDescent="0.3">
      <c r="A851" t="s">
        <v>16</v>
      </c>
      <c r="B851" t="s">
        <v>38</v>
      </c>
      <c r="C851" t="s">
        <v>6</v>
      </c>
      <c r="D851" t="s">
        <v>75</v>
      </c>
      <c r="E851" s="17">
        <v>40.700000000000003</v>
      </c>
      <c r="F851" s="1">
        <v>46113</v>
      </c>
    </row>
    <row r="852" spans="1:6" x14ac:dyDescent="0.3">
      <c r="A852" t="s">
        <v>12</v>
      </c>
      <c r="B852" t="s">
        <v>38</v>
      </c>
      <c r="C852" t="s">
        <v>9</v>
      </c>
      <c r="D852" t="s">
        <v>75</v>
      </c>
      <c r="E852" s="17">
        <v>109.4</v>
      </c>
      <c r="F852" s="1">
        <v>46113</v>
      </c>
    </row>
    <row r="853" spans="1:6" x14ac:dyDescent="0.3">
      <c r="A853" t="s">
        <v>10</v>
      </c>
      <c r="B853" t="s">
        <v>38</v>
      </c>
      <c r="C853" t="s">
        <v>6</v>
      </c>
      <c r="D853" t="s">
        <v>75</v>
      </c>
      <c r="E853" s="17">
        <v>69.7</v>
      </c>
      <c r="F853" s="1">
        <v>46113</v>
      </c>
    </row>
    <row r="854" spans="1:6" x14ac:dyDescent="0.3">
      <c r="A854" t="s">
        <v>19</v>
      </c>
      <c r="B854" t="s">
        <v>38</v>
      </c>
      <c r="C854" t="s">
        <v>6</v>
      </c>
      <c r="D854" t="s">
        <v>75</v>
      </c>
      <c r="E854" s="17">
        <v>27.1</v>
      </c>
      <c r="F854" s="1">
        <v>46113</v>
      </c>
    </row>
    <row r="855" spans="1:6" x14ac:dyDescent="0.3">
      <c r="A855" t="s">
        <v>14</v>
      </c>
      <c r="B855" t="s">
        <v>38</v>
      </c>
      <c r="C855" t="s">
        <v>4</v>
      </c>
      <c r="D855" t="s">
        <v>75</v>
      </c>
      <c r="E855" s="17">
        <v>0.8</v>
      </c>
      <c r="F855" s="1">
        <v>46113</v>
      </c>
    </row>
    <row r="856" spans="1:6" x14ac:dyDescent="0.3">
      <c r="A856" t="s">
        <v>8</v>
      </c>
      <c r="B856" t="s">
        <v>38</v>
      </c>
      <c r="C856" t="s">
        <v>6</v>
      </c>
      <c r="D856" t="s">
        <v>75</v>
      </c>
      <c r="E856" s="17">
        <v>45.6</v>
      </c>
      <c r="F856" s="1">
        <v>46113</v>
      </c>
    </row>
    <row r="857" spans="1:6" x14ac:dyDescent="0.3">
      <c r="A857" t="s">
        <v>20</v>
      </c>
      <c r="B857" t="s">
        <v>38</v>
      </c>
      <c r="C857" t="s">
        <v>4</v>
      </c>
      <c r="D857" t="s">
        <v>75</v>
      </c>
      <c r="E857" s="17">
        <v>6.7</v>
      </c>
      <c r="F857" s="1">
        <v>46113</v>
      </c>
    </row>
    <row r="858" spans="1:6" x14ac:dyDescent="0.3">
      <c r="A858" t="s">
        <v>15</v>
      </c>
      <c r="B858" t="s">
        <v>38</v>
      </c>
      <c r="C858" t="s">
        <v>6</v>
      </c>
      <c r="D858" t="s">
        <v>75</v>
      </c>
      <c r="E858" s="17">
        <v>41.6</v>
      </c>
      <c r="F858" s="1">
        <v>46113</v>
      </c>
    </row>
    <row r="859" spans="1:6" x14ac:dyDescent="0.3">
      <c r="A859" t="s">
        <v>15</v>
      </c>
      <c r="B859" t="s">
        <v>38</v>
      </c>
      <c r="C859" t="s">
        <v>9</v>
      </c>
      <c r="D859" t="s">
        <v>75</v>
      </c>
      <c r="E859" s="17">
        <v>48</v>
      </c>
      <c r="F859" s="1">
        <v>46113</v>
      </c>
    </row>
    <row r="860" spans="1:6" x14ac:dyDescent="0.3">
      <c r="A860" t="s">
        <v>14</v>
      </c>
      <c r="B860" t="s">
        <v>38</v>
      </c>
      <c r="C860" t="s">
        <v>6</v>
      </c>
      <c r="D860" t="s">
        <v>75</v>
      </c>
      <c r="E860" s="17">
        <v>2.6</v>
      </c>
      <c r="F860" s="1">
        <v>46113</v>
      </c>
    </row>
    <row r="861" spans="1:6" x14ac:dyDescent="0.3">
      <c r="A861" t="s">
        <v>21</v>
      </c>
      <c r="B861" t="s">
        <v>38</v>
      </c>
      <c r="C861" t="s">
        <v>9</v>
      </c>
      <c r="D861" t="s">
        <v>75</v>
      </c>
      <c r="E861" s="17">
        <v>57.7</v>
      </c>
      <c r="F861" s="1">
        <v>46113</v>
      </c>
    </row>
    <row r="862" spans="1:6" x14ac:dyDescent="0.3">
      <c r="A862" t="s">
        <v>23</v>
      </c>
      <c r="B862" t="s">
        <v>38</v>
      </c>
      <c r="C862" t="s">
        <v>4</v>
      </c>
      <c r="D862" t="s">
        <v>75</v>
      </c>
      <c r="E862" s="17">
        <v>25.9</v>
      </c>
      <c r="F862" s="1">
        <v>46113</v>
      </c>
    </row>
    <row r="863" spans="1:6" x14ac:dyDescent="0.3">
      <c r="A863" t="s">
        <v>16</v>
      </c>
      <c r="B863" t="s">
        <v>38</v>
      </c>
      <c r="C863" t="s">
        <v>4</v>
      </c>
      <c r="D863" t="s">
        <v>75</v>
      </c>
      <c r="E863" s="17">
        <v>25.8</v>
      </c>
      <c r="F863" s="1">
        <v>46113</v>
      </c>
    </row>
    <row r="864" spans="1:6" x14ac:dyDescent="0.3">
      <c r="A864" t="s">
        <v>10</v>
      </c>
      <c r="B864" t="s">
        <v>38</v>
      </c>
      <c r="C864" t="s">
        <v>4</v>
      </c>
      <c r="D864" t="s">
        <v>75</v>
      </c>
      <c r="E864" s="17">
        <v>99.1</v>
      </c>
      <c r="F864" s="1">
        <v>46113</v>
      </c>
    </row>
    <row r="865" spans="1:6" x14ac:dyDescent="0.3">
      <c r="A865" t="s">
        <v>22</v>
      </c>
      <c r="B865" t="s">
        <v>38</v>
      </c>
      <c r="C865" t="s">
        <v>9</v>
      </c>
      <c r="D865" t="s">
        <v>75</v>
      </c>
      <c r="E865" s="17">
        <v>63</v>
      </c>
      <c r="F865" s="1">
        <v>46113</v>
      </c>
    </row>
    <row r="866" spans="1:6" x14ac:dyDescent="0.3">
      <c r="A866" t="s">
        <v>5</v>
      </c>
      <c r="B866" t="s">
        <v>38</v>
      </c>
      <c r="C866" t="s">
        <v>4</v>
      </c>
      <c r="D866" t="s">
        <v>75</v>
      </c>
      <c r="E866" s="17">
        <v>18.600000000000001</v>
      </c>
      <c r="F866" s="1">
        <v>46113</v>
      </c>
    </row>
    <row r="867" spans="1:6" x14ac:dyDescent="0.3">
      <c r="A867" t="s">
        <v>5</v>
      </c>
      <c r="B867" t="s">
        <v>38</v>
      </c>
      <c r="C867" t="s">
        <v>6</v>
      </c>
      <c r="D867" t="s">
        <v>75</v>
      </c>
      <c r="E867" s="17">
        <v>26.3</v>
      </c>
      <c r="F867" s="1">
        <v>46113</v>
      </c>
    </row>
    <row r="868" spans="1:6" x14ac:dyDescent="0.3">
      <c r="A868" t="s">
        <v>19</v>
      </c>
      <c r="B868" t="s">
        <v>38</v>
      </c>
      <c r="C868" t="s">
        <v>9</v>
      </c>
      <c r="D868" t="s">
        <v>75</v>
      </c>
      <c r="E868" s="17">
        <v>52.6</v>
      </c>
      <c r="F868" s="1">
        <v>46113</v>
      </c>
    </row>
    <row r="869" spans="1:6" x14ac:dyDescent="0.3">
      <c r="A869" t="s">
        <v>13</v>
      </c>
      <c r="B869" t="s">
        <v>38</v>
      </c>
      <c r="C869" t="s">
        <v>6</v>
      </c>
      <c r="D869" t="s">
        <v>75</v>
      </c>
      <c r="E869" s="17">
        <v>27.5</v>
      </c>
      <c r="F869" s="1">
        <v>46113</v>
      </c>
    </row>
    <row r="870" spans="1:6" x14ac:dyDescent="0.3">
      <c r="A870" t="s">
        <v>20</v>
      </c>
      <c r="B870" t="s">
        <v>38</v>
      </c>
      <c r="C870" t="s">
        <v>9</v>
      </c>
      <c r="D870" t="s">
        <v>75</v>
      </c>
      <c r="E870" s="17">
        <v>63.7</v>
      </c>
      <c r="F870" s="1">
        <v>46113</v>
      </c>
    </row>
    <row r="871" spans="1:6" x14ac:dyDescent="0.3">
      <c r="A871" t="s">
        <v>7</v>
      </c>
      <c r="B871" t="s">
        <v>38</v>
      </c>
      <c r="C871" t="s">
        <v>9</v>
      </c>
      <c r="D871" t="s">
        <v>75</v>
      </c>
      <c r="E871" s="17">
        <v>76.2</v>
      </c>
      <c r="F871" s="1">
        <v>46113</v>
      </c>
    </row>
    <row r="872" spans="1:6" x14ac:dyDescent="0.3">
      <c r="A872" t="s">
        <v>11</v>
      </c>
      <c r="B872" t="s">
        <v>38</v>
      </c>
      <c r="C872" t="s">
        <v>4</v>
      </c>
      <c r="D872" t="s">
        <v>75</v>
      </c>
      <c r="E872" s="17">
        <v>1083.2</v>
      </c>
      <c r="F872" s="1">
        <v>46113</v>
      </c>
    </row>
    <row r="873" spans="1:6" x14ac:dyDescent="0.3">
      <c r="A873" t="s">
        <v>3</v>
      </c>
      <c r="B873" t="s">
        <v>38</v>
      </c>
      <c r="C873" t="s">
        <v>6</v>
      </c>
      <c r="D873" t="s">
        <v>75</v>
      </c>
      <c r="E873" s="17">
        <v>0</v>
      </c>
      <c r="F873" s="1">
        <v>46113</v>
      </c>
    </row>
    <row r="874" spans="1:6" x14ac:dyDescent="0.3">
      <c r="A874" t="s">
        <v>20</v>
      </c>
      <c r="B874" t="s">
        <v>38</v>
      </c>
      <c r="C874" t="s">
        <v>6</v>
      </c>
      <c r="D874" t="s">
        <v>75</v>
      </c>
      <c r="E874" s="17">
        <v>57</v>
      </c>
      <c r="F874" s="1">
        <v>46113</v>
      </c>
    </row>
    <row r="875" spans="1:6" x14ac:dyDescent="0.3">
      <c r="A875" t="s">
        <v>17</v>
      </c>
      <c r="B875" t="s">
        <v>38</v>
      </c>
      <c r="C875" t="s">
        <v>4</v>
      </c>
      <c r="D875" t="s">
        <v>75</v>
      </c>
      <c r="E875" s="17">
        <v>0</v>
      </c>
      <c r="F875" s="1">
        <v>46113</v>
      </c>
    </row>
    <row r="876" spans="1:6" x14ac:dyDescent="0.3">
      <c r="A876" t="s">
        <v>28</v>
      </c>
      <c r="B876" t="s">
        <v>38</v>
      </c>
      <c r="C876" t="s">
        <v>9</v>
      </c>
      <c r="D876" t="s">
        <v>75</v>
      </c>
      <c r="E876" s="17">
        <v>108.7</v>
      </c>
      <c r="F876" s="1">
        <v>46113</v>
      </c>
    </row>
    <row r="877" spans="1:6" x14ac:dyDescent="0.3">
      <c r="A877" t="s">
        <v>12</v>
      </c>
      <c r="B877" t="s">
        <v>38</v>
      </c>
      <c r="C877" t="s">
        <v>4</v>
      </c>
      <c r="D877" t="s">
        <v>75</v>
      </c>
      <c r="E877" s="17">
        <v>93.2</v>
      </c>
      <c r="F877" s="1">
        <v>46113</v>
      </c>
    </row>
    <row r="878" spans="1:6" x14ac:dyDescent="0.3">
      <c r="A878" t="s">
        <v>17</v>
      </c>
      <c r="B878" t="s">
        <v>38</v>
      </c>
      <c r="C878" t="s">
        <v>6</v>
      </c>
      <c r="D878" t="s">
        <v>75</v>
      </c>
      <c r="E878" s="17">
        <v>0</v>
      </c>
      <c r="F878" s="1">
        <v>46113</v>
      </c>
    </row>
    <row r="879" spans="1:6" x14ac:dyDescent="0.3">
      <c r="A879" t="s">
        <v>11</v>
      </c>
      <c r="B879" t="s">
        <v>38</v>
      </c>
      <c r="C879" t="s">
        <v>9</v>
      </c>
      <c r="D879" t="s">
        <v>75</v>
      </c>
      <c r="E879" s="17">
        <v>1843</v>
      </c>
      <c r="F879" s="1">
        <v>46113</v>
      </c>
    </row>
    <row r="880" spans="1:6" x14ac:dyDescent="0.3">
      <c r="A880" t="s">
        <v>7</v>
      </c>
      <c r="B880" t="s">
        <v>38</v>
      </c>
      <c r="C880" t="s">
        <v>6</v>
      </c>
      <c r="D880" t="s">
        <v>75</v>
      </c>
      <c r="E880" s="17">
        <v>33.6</v>
      </c>
      <c r="F880" s="1">
        <v>46113</v>
      </c>
    </row>
    <row r="881" spans="1:6" x14ac:dyDescent="0.3">
      <c r="A881" t="s">
        <v>3</v>
      </c>
      <c r="B881" t="s">
        <v>38</v>
      </c>
      <c r="C881" t="s">
        <v>4</v>
      </c>
      <c r="D881" t="s">
        <v>75</v>
      </c>
      <c r="E881" s="17">
        <v>0</v>
      </c>
      <c r="F881" s="1">
        <v>46113</v>
      </c>
    </row>
    <row r="882" spans="1:6" x14ac:dyDescent="0.3">
      <c r="A882" t="s">
        <v>16</v>
      </c>
      <c r="B882" t="s">
        <v>38</v>
      </c>
      <c r="C882" t="s">
        <v>9</v>
      </c>
      <c r="D882" t="s">
        <v>75</v>
      </c>
      <c r="E882" s="17">
        <v>66.5</v>
      </c>
      <c r="F882" s="1">
        <v>46113</v>
      </c>
    </row>
    <row r="883" spans="1:6" x14ac:dyDescent="0.3">
      <c r="A883" t="s">
        <v>8</v>
      </c>
      <c r="B883" t="s">
        <v>38</v>
      </c>
      <c r="C883" t="s">
        <v>9</v>
      </c>
      <c r="D883" t="s">
        <v>75</v>
      </c>
      <c r="E883" s="17">
        <v>99.8</v>
      </c>
      <c r="F883" s="1">
        <v>46113</v>
      </c>
    </row>
    <row r="884" spans="1:6" x14ac:dyDescent="0.3">
      <c r="A884" t="s">
        <v>18</v>
      </c>
      <c r="B884" t="s">
        <v>38</v>
      </c>
      <c r="C884" t="s">
        <v>6</v>
      </c>
      <c r="D884" t="s">
        <v>75</v>
      </c>
      <c r="E884" s="17">
        <v>41.2</v>
      </c>
      <c r="F884" s="1">
        <v>46113</v>
      </c>
    </row>
    <row r="885" spans="1:6" x14ac:dyDescent="0.3">
      <c r="A885" t="s">
        <v>23</v>
      </c>
      <c r="B885" t="s">
        <v>38</v>
      </c>
      <c r="C885" t="s">
        <v>6</v>
      </c>
      <c r="D885" t="s">
        <v>75</v>
      </c>
      <c r="E885" s="17">
        <v>41.9</v>
      </c>
      <c r="F885" s="1">
        <v>46113</v>
      </c>
    </row>
    <row r="886" spans="1:6" x14ac:dyDescent="0.3">
      <c r="A886" t="s">
        <v>7</v>
      </c>
      <c r="B886" t="s">
        <v>38</v>
      </c>
      <c r="C886" t="s">
        <v>4</v>
      </c>
      <c r="D886" t="s">
        <v>75</v>
      </c>
      <c r="E886" s="17">
        <v>42.6</v>
      </c>
      <c r="F886" s="1">
        <v>46113</v>
      </c>
    </row>
    <row r="887" spans="1:6" x14ac:dyDescent="0.3">
      <c r="A887" t="s">
        <v>18</v>
      </c>
      <c r="B887" t="s">
        <v>38</v>
      </c>
      <c r="C887" t="s">
        <v>9</v>
      </c>
      <c r="D887" t="s">
        <v>75</v>
      </c>
      <c r="E887" s="17">
        <v>198.4</v>
      </c>
      <c r="F887" s="1">
        <v>46113</v>
      </c>
    </row>
    <row r="888" spans="1:6" x14ac:dyDescent="0.3">
      <c r="A888" t="s">
        <v>5</v>
      </c>
      <c r="B888" t="s">
        <v>38</v>
      </c>
      <c r="C888" t="s">
        <v>9</v>
      </c>
      <c r="D888" t="s">
        <v>75</v>
      </c>
      <c r="E888" s="17">
        <v>44.9</v>
      </c>
      <c r="F888" s="1">
        <v>46113</v>
      </c>
    </row>
    <row r="889" spans="1:6" x14ac:dyDescent="0.3">
      <c r="A889" t="s">
        <v>12</v>
      </c>
      <c r="B889" t="s">
        <v>38</v>
      </c>
      <c r="C889" t="s">
        <v>6</v>
      </c>
      <c r="D889" t="s">
        <v>75</v>
      </c>
      <c r="E889" s="17">
        <v>16.2</v>
      </c>
      <c r="F889" s="1">
        <v>46113</v>
      </c>
    </row>
    <row r="890" spans="1:6" x14ac:dyDescent="0.3">
      <c r="A890" t="s">
        <v>22</v>
      </c>
      <c r="B890" t="s">
        <v>38</v>
      </c>
      <c r="C890" t="s">
        <v>6</v>
      </c>
      <c r="D890" t="s">
        <v>75</v>
      </c>
      <c r="E890" s="17">
        <v>17.5</v>
      </c>
      <c r="F890" s="1">
        <v>46113</v>
      </c>
    </row>
    <row r="891" spans="1:6" x14ac:dyDescent="0.3">
      <c r="A891" t="s">
        <v>18</v>
      </c>
      <c r="B891" t="s">
        <v>38</v>
      </c>
      <c r="C891" t="s">
        <v>4</v>
      </c>
      <c r="D891" t="s">
        <v>75</v>
      </c>
      <c r="E891" s="17">
        <v>157.19999999999999</v>
      </c>
      <c r="F891" s="1">
        <v>46113</v>
      </c>
    </row>
    <row r="892" spans="1:6" x14ac:dyDescent="0.3">
      <c r="A892" t="s">
        <v>21</v>
      </c>
      <c r="B892" t="s">
        <v>38</v>
      </c>
      <c r="C892" t="s">
        <v>6</v>
      </c>
      <c r="D892" t="s">
        <v>75</v>
      </c>
      <c r="E892" s="17">
        <v>45.3</v>
      </c>
      <c r="F892" s="1">
        <v>46113</v>
      </c>
    </row>
    <row r="893" spans="1:6" x14ac:dyDescent="0.3">
      <c r="A893" t="s">
        <v>10</v>
      </c>
      <c r="B893" t="s">
        <v>38</v>
      </c>
      <c r="C893" t="s">
        <v>9</v>
      </c>
      <c r="D893" t="s">
        <v>75</v>
      </c>
      <c r="E893" s="17">
        <v>168.8</v>
      </c>
      <c r="F893" s="1">
        <v>46113</v>
      </c>
    </row>
    <row r="894" spans="1:6" x14ac:dyDescent="0.3">
      <c r="A894" t="s">
        <v>30</v>
      </c>
      <c r="B894" t="s">
        <v>38</v>
      </c>
      <c r="C894" t="s">
        <v>6</v>
      </c>
      <c r="D894" t="s">
        <v>75</v>
      </c>
      <c r="E894" s="17">
        <v>32.299999999999997</v>
      </c>
      <c r="F894" s="1">
        <v>46113</v>
      </c>
    </row>
    <row r="895" spans="1:6" x14ac:dyDescent="0.3">
      <c r="A895" t="s">
        <v>28</v>
      </c>
      <c r="B895" t="s">
        <v>38</v>
      </c>
      <c r="C895" t="s">
        <v>4</v>
      </c>
      <c r="D895" t="s">
        <v>75</v>
      </c>
      <c r="E895" s="17">
        <v>75.5</v>
      </c>
      <c r="F895" s="1">
        <v>46113</v>
      </c>
    </row>
    <row r="896" spans="1:6" x14ac:dyDescent="0.3">
      <c r="A896" t="s">
        <v>24</v>
      </c>
      <c r="B896" t="s">
        <v>38</v>
      </c>
      <c r="C896" t="s">
        <v>4</v>
      </c>
      <c r="D896" t="s">
        <v>75</v>
      </c>
      <c r="E896" s="17">
        <v>0</v>
      </c>
      <c r="F896" s="1">
        <v>46113</v>
      </c>
    </row>
    <row r="897" spans="1:6" x14ac:dyDescent="0.3">
      <c r="A897" t="s">
        <v>25</v>
      </c>
      <c r="B897" t="s">
        <v>38</v>
      </c>
      <c r="C897" t="s">
        <v>4</v>
      </c>
      <c r="D897" t="s">
        <v>75</v>
      </c>
      <c r="E897" s="17">
        <v>2.6</v>
      </c>
      <c r="F897" s="1">
        <v>46113</v>
      </c>
    </row>
    <row r="898" spans="1:6" x14ac:dyDescent="0.3">
      <c r="A898" t="s">
        <v>29</v>
      </c>
      <c r="B898" t="s">
        <v>38</v>
      </c>
      <c r="C898" t="s">
        <v>9</v>
      </c>
      <c r="D898" t="s">
        <v>75</v>
      </c>
      <c r="E898" s="17">
        <v>74.3</v>
      </c>
      <c r="F898" s="1">
        <v>46113</v>
      </c>
    </row>
    <row r="899" spans="1:6" x14ac:dyDescent="0.3">
      <c r="A899" t="s">
        <v>24</v>
      </c>
      <c r="B899" t="s">
        <v>38</v>
      </c>
      <c r="C899" t="s">
        <v>6</v>
      </c>
      <c r="D899" t="s">
        <v>75</v>
      </c>
      <c r="E899" s="17">
        <v>0</v>
      </c>
      <c r="F899" s="1">
        <v>46113</v>
      </c>
    </row>
    <row r="900" spans="1:6" x14ac:dyDescent="0.3">
      <c r="A900" t="s">
        <v>26</v>
      </c>
      <c r="B900" t="s">
        <v>38</v>
      </c>
      <c r="C900" t="s">
        <v>9</v>
      </c>
      <c r="D900" t="s">
        <v>75</v>
      </c>
      <c r="E900" s="17">
        <v>149.9</v>
      </c>
      <c r="F900" s="1">
        <v>46113</v>
      </c>
    </row>
    <row r="901" spans="1:6" x14ac:dyDescent="0.3">
      <c r="A901" t="s">
        <v>27</v>
      </c>
      <c r="B901" t="s">
        <v>38</v>
      </c>
      <c r="C901" t="s">
        <v>6</v>
      </c>
      <c r="D901" t="s">
        <v>75</v>
      </c>
      <c r="E901" s="17">
        <v>83.8</v>
      </c>
      <c r="F901" s="1">
        <v>46113</v>
      </c>
    </row>
    <row r="902" spans="1:6" x14ac:dyDescent="0.3">
      <c r="A902" t="s">
        <v>28</v>
      </c>
      <c r="B902" t="s">
        <v>38</v>
      </c>
      <c r="C902" t="s">
        <v>6</v>
      </c>
      <c r="D902" t="s">
        <v>75</v>
      </c>
      <c r="E902" s="17">
        <v>33.200000000000003</v>
      </c>
      <c r="F902" s="1">
        <v>46113</v>
      </c>
    </row>
    <row r="903" spans="1:6" x14ac:dyDescent="0.3">
      <c r="A903" t="s">
        <v>24</v>
      </c>
      <c r="B903" t="s">
        <v>38</v>
      </c>
      <c r="C903" t="s">
        <v>9</v>
      </c>
      <c r="D903" t="s">
        <v>75</v>
      </c>
      <c r="E903" s="17">
        <v>13.7</v>
      </c>
      <c r="F903" s="1">
        <v>46113</v>
      </c>
    </row>
    <row r="904" spans="1:6" x14ac:dyDescent="0.3">
      <c r="A904" t="s">
        <v>27</v>
      </c>
      <c r="B904" t="s">
        <v>38</v>
      </c>
      <c r="C904" t="s">
        <v>9</v>
      </c>
      <c r="D904" t="s">
        <v>75</v>
      </c>
      <c r="E904" s="17">
        <v>185.6</v>
      </c>
      <c r="F904" s="1">
        <v>46113</v>
      </c>
    </row>
    <row r="905" spans="1:6" x14ac:dyDescent="0.3">
      <c r="A905" t="s">
        <v>30</v>
      </c>
      <c r="B905" t="s">
        <v>38</v>
      </c>
      <c r="C905" t="s">
        <v>9</v>
      </c>
      <c r="D905" t="s">
        <v>75</v>
      </c>
      <c r="E905" s="17">
        <v>135</v>
      </c>
      <c r="F905" s="1">
        <v>46113</v>
      </c>
    </row>
    <row r="906" spans="1:6" x14ac:dyDescent="0.3">
      <c r="A906" t="s">
        <v>25</v>
      </c>
      <c r="B906" t="s">
        <v>38</v>
      </c>
      <c r="C906" t="s">
        <v>6</v>
      </c>
      <c r="D906" t="s">
        <v>75</v>
      </c>
      <c r="E906" s="17">
        <v>23.5</v>
      </c>
      <c r="F906" s="1">
        <v>46113</v>
      </c>
    </row>
    <row r="907" spans="1:6" x14ac:dyDescent="0.3">
      <c r="A907" t="s">
        <v>29</v>
      </c>
      <c r="B907" t="s">
        <v>38</v>
      </c>
      <c r="C907" t="s">
        <v>6</v>
      </c>
      <c r="D907" t="s">
        <v>75</v>
      </c>
      <c r="E907" s="17">
        <v>21.4</v>
      </c>
      <c r="F907" s="1">
        <v>46113</v>
      </c>
    </row>
    <row r="908" spans="1:6" x14ac:dyDescent="0.3">
      <c r="A908" t="s">
        <v>30</v>
      </c>
      <c r="B908" t="s">
        <v>38</v>
      </c>
      <c r="C908" t="s">
        <v>4</v>
      </c>
      <c r="D908" t="s">
        <v>75</v>
      </c>
      <c r="E908" s="17">
        <v>102.7</v>
      </c>
      <c r="F908" s="1">
        <v>46113</v>
      </c>
    </row>
    <row r="909" spans="1:6" x14ac:dyDescent="0.3">
      <c r="A909" t="s">
        <v>26</v>
      </c>
      <c r="B909" t="s">
        <v>38</v>
      </c>
      <c r="C909" t="s">
        <v>6</v>
      </c>
      <c r="D909" t="s">
        <v>75</v>
      </c>
      <c r="E909" s="17">
        <v>16.8</v>
      </c>
      <c r="F909" s="1">
        <v>46113</v>
      </c>
    </row>
    <row r="910" spans="1:6" x14ac:dyDescent="0.3">
      <c r="A910" t="s">
        <v>27</v>
      </c>
      <c r="B910" t="s">
        <v>38</v>
      </c>
      <c r="C910" t="s">
        <v>4</v>
      </c>
      <c r="D910" t="s">
        <v>75</v>
      </c>
      <c r="E910" s="17">
        <v>101.8</v>
      </c>
      <c r="F910" s="1">
        <v>46113</v>
      </c>
    </row>
    <row r="911" spans="1:6" x14ac:dyDescent="0.3">
      <c r="A911" t="s">
        <v>26</v>
      </c>
      <c r="B911" t="s">
        <v>38</v>
      </c>
      <c r="C911" t="s">
        <v>4</v>
      </c>
      <c r="D911" t="s">
        <v>75</v>
      </c>
      <c r="E911" s="17">
        <v>133.1</v>
      </c>
      <c r="F911" s="1">
        <v>46113</v>
      </c>
    </row>
    <row r="912" spans="1:6" x14ac:dyDescent="0.3">
      <c r="A912" t="s">
        <v>29</v>
      </c>
      <c r="B912" t="s">
        <v>38</v>
      </c>
      <c r="C912" t="s">
        <v>4</v>
      </c>
      <c r="D912" t="s">
        <v>75</v>
      </c>
      <c r="E912" s="17">
        <v>52.9</v>
      </c>
      <c r="F912" s="1">
        <v>46113</v>
      </c>
    </row>
    <row r="913" spans="1:6" x14ac:dyDescent="0.3">
      <c r="A913" t="s">
        <v>25</v>
      </c>
      <c r="B913" t="s">
        <v>38</v>
      </c>
      <c r="C913" t="s">
        <v>9</v>
      </c>
      <c r="D913" t="s">
        <v>75</v>
      </c>
      <c r="E913" s="17">
        <v>26.1</v>
      </c>
      <c r="F913" s="1">
        <v>46113</v>
      </c>
    </row>
    <row r="914" spans="1:6" x14ac:dyDescent="0.3">
      <c r="A914" t="s">
        <v>3</v>
      </c>
      <c r="B914" t="s">
        <v>38</v>
      </c>
      <c r="C914" t="s">
        <v>9</v>
      </c>
      <c r="D914" t="s">
        <v>76</v>
      </c>
      <c r="E914" s="17">
        <v>4.7</v>
      </c>
      <c r="F914" s="1">
        <v>45748</v>
      </c>
    </row>
    <row r="915" spans="1:6" x14ac:dyDescent="0.3">
      <c r="A915" t="s">
        <v>19</v>
      </c>
      <c r="B915" t="s">
        <v>38</v>
      </c>
      <c r="C915" t="s">
        <v>4</v>
      </c>
      <c r="D915" t="s">
        <v>76</v>
      </c>
      <c r="E915" s="17">
        <v>24.3</v>
      </c>
      <c r="F915" s="1">
        <v>45748</v>
      </c>
    </row>
    <row r="916" spans="1:6" x14ac:dyDescent="0.3">
      <c r="A916" t="s">
        <v>8</v>
      </c>
      <c r="B916" t="s">
        <v>38</v>
      </c>
      <c r="C916" t="s">
        <v>4</v>
      </c>
      <c r="D916" t="s">
        <v>76</v>
      </c>
      <c r="E916" s="17">
        <v>48.4</v>
      </c>
      <c r="F916" s="1">
        <v>45748</v>
      </c>
    </row>
    <row r="917" spans="1:6" x14ac:dyDescent="0.3">
      <c r="A917" t="s">
        <v>23</v>
      </c>
      <c r="B917" t="s">
        <v>38</v>
      </c>
      <c r="C917" t="s">
        <v>9</v>
      </c>
      <c r="D917" t="s">
        <v>76</v>
      </c>
      <c r="E917" s="17">
        <v>75.900000000000006</v>
      </c>
      <c r="F917" s="1">
        <v>45748</v>
      </c>
    </row>
    <row r="918" spans="1:6" x14ac:dyDescent="0.3">
      <c r="A918" t="s">
        <v>22</v>
      </c>
      <c r="B918" t="s">
        <v>38</v>
      </c>
      <c r="C918" t="s">
        <v>4</v>
      </c>
      <c r="D918" t="s">
        <v>76</v>
      </c>
      <c r="E918" s="17">
        <v>50.1</v>
      </c>
      <c r="F918" s="1">
        <v>45748</v>
      </c>
    </row>
    <row r="919" spans="1:6" x14ac:dyDescent="0.3">
      <c r="A919" t="s">
        <v>17</v>
      </c>
      <c r="B919" t="s">
        <v>38</v>
      </c>
      <c r="C919" t="s">
        <v>9</v>
      </c>
      <c r="D919" t="s">
        <v>76</v>
      </c>
      <c r="E919" s="17">
        <v>9.6</v>
      </c>
      <c r="F919" s="1">
        <v>45748</v>
      </c>
    </row>
    <row r="920" spans="1:6" x14ac:dyDescent="0.3">
      <c r="A920" t="s">
        <v>21</v>
      </c>
      <c r="B920" t="s">
        <v>38</v>
      </c>
      <c r="C920" t="s">
        <v>4</v>
      </c>
      <c r="D920" t="s">
        <v>76</v>
      </c>
      <c r="E920" s="17">
        <v>10.7</v>
      </c>
      <c r="F920" s="1">
        <v>45748</v>
      </c>
    </row>
    <row r="921" spans="1:6" x14ac:dyDescent="0.3">
      <c r="A921" t="s">
        <v>14</v>
      </c>
      <c r="B921" t="s">
        <v>38</v>
      </c>
      <c r="C921" t="s">
        <v>9</v>
      </c>
      <c r="D921" t="s">
        <v>76</v>
      </c>
      <c r="E921" s="17">
        <v>5.0999999999999996</v>
      </c>
      <c r="F921" s="1">
        <v>45748</v>
      </c>
    </row>
    <row r="922" spans="1:6" x14ac:dyDescent="0.3">
      <c r="A922" t="s">
        <v>13</v>
      </c>
      <c r="B922" t="s">
        <v>38</v>
      </c>
      <c r="C922" t="s">
        <v>4</v>
      </c>
      <c r="D922" t="s">
        <v>76</v>
      </c>
      <c r="E922" s="17">
        <v>0.3</v>
      </c>
      <c r="F922" s="1">
        <v>45748</v>
      </c>
    </row>
    <row r="923" spans="1:6" x14ac:dyDescent="0.3">
      <c r="A923" t="s">
        <v>13</v>
      </c>
      <c r="B923" t="s">
        <v>38</v>
      </c>
      <c r="C923" t="s">
        <v>9</v>
      </c>
      <c r="D923" t="s">
        <v>76</v>
      </c>
      <c r="E923" s="17">
        <v>73.2</v>
      </c>
      <c r="F923" s="1">
        <v>45748</v>
      </c>
    </row>
    <row r="924" spans="1:6" x14ac:dyDescent="0.3">
      <c r="A924" t="s">
        <v>11</v>
      </c>
      <c r="B924" t="s">
        <v>38</v>
      </c>
      <c r="C924" t="s">
        <v>6</v>
      </c>
      <c r="D924" t="s">
        <v>76</v>
      </c>
      <c r="E924" s="17">
        <v>1009.8</v>
      </c>
      <c r="F924" s="1">
        <v>45748</v>
      </c>
    </row>
    <row r="925" spans="1:6" x14ac:dyDescent="0.3">
      <c r="A925" t="s">
        <v>15</v>
      </c>
      <c r="B925" t="s">
        <v>38</v>
      </c>
      <c r="C925" t="s">
        <v>4</v>
      </c>
      <c r="D925" t="s">
        <v>76</v>
      </c>
      <c r="E925" s="17">
        <v>5.6</v>
      </c>
      <c r="F925" s="1">
        <v>45748</v>
      </c>
    </row>
    <row r="926" spans="1:6" x14ac:dyDescent="0.3">
      <c r="A926" t="s">
        <v>16</v>
      </c>
      <c r="B926" t="s">
        <v>38</v>
      </c>
      <c r="C926" t="s">
        <v>6</v>
      </c>
      <c r="D926" t="s">
        <v>76</v>
      </c>
      <c r="E926" s="17">
        <v>46.3</v>
      </c>
      <c r="F926" s="1">
        <v>45748</v>
      </c>
    </row>
    <row r="927" spans="1:6" x14ac:dyDescent="0.3">
      <c r="A927" t="s">
        <v>12</v>
      </c>
      <c r="B927" t="s">
        <v>38</v>
      </c>
      <c r="C927" t="s">
        <v>9</v>
      </c>
      <c r="D927" t="s">
        <v>76</v>
      </c>
      <c r="E927" s="17">
        <v>110.1</v>
      </c>
      <c r="F927" s="1">
        <v>45748</v>
      </c>
    </row>
    <row r="928" spans="1:6" x14ac:dyDescent="0.3">
      <c r="A928" t="s">
        <v>10</v>
      </c>
      <c r="B928" t="s">
        <v>38</v>
      </c>
      <c r="C928" t="s">
        <v>6</v>
      </c>
      <c r="D928" t="s">
        <v>76</v>
      </c>
      <c r="E928" s="17">
        <v>79.599999999999994</v>
      </c>
      <c r="F928" s="1">
        <v>45748</v>
      </c>
    </row>
    <row r="929" spans="1:6" x14ac:dyDescent="0.3">
      <c r="A929" t="s">
        <v>19</v>
      </c>
      <c r="B929" t="s">
        <v>38</v>
      </c>
      <c r="C929" t="s">
        <v>6</v>
      </c>
      <c r="D929" t="s">
        <v>76</v>
      </c>
      <c r="E929" s="17">
        <v>30.9</v>
      </c>
      <c r="F929" s="1">
        <v>45748</v>
      </c>
    </row>
    <row r="930" spans="1:6" x14ac:dyDescent="0.3">
      <c r="A930" t="s">
        <v>14</v>
      </c>
      <c r="B930" t="s">
        <v>38</v>
      </c>
      <c r="C930" t="s">
        <v>4</v>
      </c>
      <c r="D930" t="s">
        <v>76</v>
      </c>
      <c r="E930" s="17">
        <v>1.2</v>
      </c>
      <c r="F930" s="1">
        <v>45748</v>
      </c>
    </row>
    <row r="931" spans="1:6" x14ac:dyDescent="0.3">
      <c r="A931" t="s">
        <v>8</v>
      </c>
      <c r="B931" t="s">
        <v>38</v>
      </c>
      <c r="C931" t="s">
        <v>6</v>
      </c>
      <c r="D931" t="s">
        <v>76</v>
      </c>
      <c r="E931" s="17">
        <v>73.7</v>
      </c>
      <c r="F931" s="1">
        <v>45748</v>
      </c>
    </row>
    <row r="932" spans="1:6" x14ac:dyDescent="0.3">
      <c r="A932" t="s">
        <v>20</v>
      </c>
      <c r="B932" t="s">
        <v>38</v>
      </c>
      <c r="C932" t="s">
        <v>4</v>
      </c>
      <c r="D932" t="s">
        <v>76</v>
      </c>
      <c r="E932" s="17">
        <v>7.6</v>
      </c>
      <c r="F932" s="1">
        <v>45748</v>
      </c>
    </row>
    <row r="933" spans="1:6" x14ac:dyDescent="0.3">
      <c r="A933" t="s">
        <v>15</v>
      </c>
      <c r="B933" t="s">
        <v>38</v>
      </c>
      <c r="C933" t="s">
        <v>6</v>
      </c>
      <c r="D933" t="s">
        <v>76</v>
      </c>
      <c r="E933" s="17">
        <v>52.2</v>
      </c>
      <c r="F933" s="1">
        <v>45748</v>
      </c>
    </row>
    <row r="934" spans="1:6" x14ac:dyDescent="0.3">
      <c r="A934" t="s">
        <v>15</v>
      </c>
      <c r="B934" t="s">
        <v>38</v>
      </c>
      <c r="C934" t="s">
        <v>9</v>
      </c>
      <c r="D934" t="s">
        <v>76</v>
      </c>
      <c r="E934" s="17">
        <v>57.8</v>
      </c>
      <c r="F934" s="1">
        <v>45748</v>
      </c>
    </row>
    <row r="935" spans="1:6" x14ac:dyDescent="0.3">
      <c r="A935" t="s">
        <v>14</v>
      </c>
      <c r="B935" t="s">
        <v>38</v>
      </c>
      <c r="C935" t="s">
        <v>6</v>
      </c>
      <c r="D935" t="s">
        <v>76</v>
      </c>
      <c r="E935" s="17">
        <v>3.9</v>
      </c>
      <c r="F935" s="1">
        <v>45748</v>
      </c>
    </row>
    <row r="936" spans="1:6" x14ac:dyDescent="0.3">
      <c r="A936" t="s">
        <v>21</v>
      </c>
      <c r="B936" t="s">
        <v>38</v>
      </c>
      <c r="C936" t="s">
        <v>9</v>
      </c>
      <c r="D936" t="s">
        <v>76</v>
      </c>
      <c r="E936" s="17">
        <v>78</v>
      </c>
      <c r="F936" s="1">
        <v>45748</v>
      </c>
    </row>
    <row r="937" spans="1:6" x14ac:dyDescent="0.3">
      <c r="A937" t="s">
        <v>23</v>
      </c>
      <c r="B937" t="s">
        <v>38</v>
      </c>
      <c r="C937" t="s">
        <v>4</v>
      </c>
      <c r="D937" t="s">
        <v>76</v>
      </c>
      <c r="E937" s="17">
        <v>19.399999999999999</v>
      </c>
      <c r="F937" s="1">
        <v>45748</v>
      </c>
    </row>
    <row r="938" spans="1:6" x14ac:dyDescent="0.3">
      <c r="A938" t="s">
        <v>16</v>
      </c>
      <c r="B938" t="s">
        <v>38</v>
      </c>
      <c r="C938" t="s">
        <v>4</v>
      </c>
      <c r="D938" t="s">
        <v>76</v>
      </c>
      <c r="E938" s="17">
        <v>25.8</v>
      </c>
      <c r="F938" s="1">
        <v>45748</v>
      </c>
    </row>
    <row r="939" spans="1:6" x14ac:dyDescent="0.3">
      <c r="A939" t="s">
        <v>10</v>
      </c>
      <c r="B939" t="s">
        <v>38</v>
      </c>
      <c r="C939" t="s">
        <v>4</v>
      </c>
      <c r="D939" t="s">
        <v>76</v>
      </c>
      <c r="E939" s="17">
        <v>94.3</v>
      </c>
      <c r="F939" s="1">
        <v>45748</v>
      </c>
    </row>
    <row r="940" spans="1:6" x14ac:dyDescent="0.3">
      <c r="A940" t="s">
        <v>22</v>
      </c>
      <c r="B940" t="s">
        <v>38</v>
      </c>
      <c r="C940" t="s">
        <v>9</v>
      </c>
      <c r="D940" t="s">
        <v>76</v>
      </c>
      <c r="E940" s="17">
        <v>74.7</v>
      </c>
      <c r="F940" s="1">
        <v>45748</v>
      </c>
    </row>
    <row r="941" spans="1:6" x14ac:dyDescent="0.3">
      <c r="A941" t="s">
        <v>5</v>
      </c>
      <c r="B941" t="s">
        <v>38</v>
      </c>
      <c r="C941" t="s">
        <v>4</v>
      </c>
      <c r="D941" t="s">
        <v>76</v>
      </c>
      <c r="E941" s="17">
        <v>21.2</v>
      </c>
      <c r="F941" s="1">
        <v>45748</v>
      </c>
    </row>
    <row r="942" spans="1:6" x14ac:dyDescent="0.3">
      <c r="A942" t="s">
        <v>5</v>
      </c>
      <c r="B942" t="s">
        <v>38</v>
      </c>
      <c r="C942" t="s">
        <v>6</v>
      </c>
      <c r="D942" t="s">
        <v>76</v>
      </c>
      <c r="E942" s="17">
        <v>29.7</v>
      </c>
      <c r="F942" s="1">
        <v>45748</v>
      </c>
    </row>
    <row r="943" spans="1:6" x14ac:dyDescent="0.3">
      <c r="A943" t="s">
        <v>19</v>
      </c>
      <c r="B943" t="s">
        <v>38</v>
      </c>
      <c r="C943" t="s">
        <v>9</v>
      </c>
      <c r="D943" t="s">
        <v>76</v>
      </c>
      <c r="E943" s="17">
        <v>55.2</v>
      </c>
      <c r="F943" s="1">
        <v>45748</v>
      </c>
    </row>
    <row r="944" spans="1:6" x14ac:dyDescent="0.3">
      <c r="A944" t="s">
        <v>13</v>
      </c>
      <c r="B944" t="s">
        <v>38</v>
      </c>
      <c r="C944" t="s">
        <v>6</v>
      </c>
      <c r="D944" t="s">
        <v>76</v>
      </c>
      <c r="E944" s="17">
        <v>72.900000000000006</v>
      </c>
      <c r="F944" s="1">
        <v>45748</v>
      </c>
    </row>
    <row r="945" spans="1:6" x14ac:dyDescent="0.3">
      <c r="A945" t="s">
        <v>20</v>
      </c>
      <c r="B945" t="s">
        <v>38</v>
      </c>
      <c r="C945" t="s">
        <v>9</v>
      </c>
      <c r="D945" t="s">
        <v>76</v>
      </c>
      <c r="E945" s="17">
        <v>65.8</v>
      </c>
      <c r="F945" s="1">
        <v>45748</v>
      </c>
    </row>
    <row r="946" spans="1:6" x14ac:dyDescent="0.3">
      <c r="A946" t="s">
        <v>7</v>
      </c>
      <c r="B946" t="s">
        <v>38</v>
      </c>
      <c r="C946" t="s">
        <v>9</v>
      </c>
      <c r="D946" t="s">
        <v>76</v>
      </c>
      <c r="E946" s="17">
        <v>85.2</v>
      </c>
      <c r="F946" s="1">
        <v>45748</v>
      </c>
    </row>
    <row r="947" spans="1:6" x14ac:dyDescent="0.3">
      <c r="A947" t="s">
        <v>11</v>
      </c>
      <c r="B947" t="s">
        <v>38</v>
      </c>
      <c r="C947" t="s">
        <v>4</v>
      </c>
      <c r="D947" t="s">
        <v>76</v>
      </c>
      <c r="E947" s="17">
        <v>1050.2</v>
      </c>
      <c r="F947" s="1">
        <v>45748</v>
      </c>
    </row>
    <row r="948" spans="1:6" x14ac:dyDescent="0.3">
      <c r="A948" t="s">
        <v>3</v>
      </c>
      <c r="B948" t="s">
        <v>38</v>
      </c>
      <c r="C948" t="s">
        <v>6</v>
      </c>
      <c r="D948" t="s">
        <v>76</v>
      </c>
      <c r="E948" s="17">
        <v>0</v>
      </c>
      <c r="F948" s="1">
        <v>45748</v>
      </c>
    </row>
    <row r="949" spans="1:6" x14ac:dyDescent="0.3">
      <c r="A949" t="s">
        <v>20</v>
      </c>
      <c r="B949" t="s">
        <v>38</v>
      </c>
      <c r="C949" t="s">
        <v>6</v>
      </c>
      <c r="D949" t="s">
        <v>76</v>
      </c>
      <c r="E949" s="17">
        <v>58.2</v>
      </c>
      <c r="F949" s="1">
        <v>45748</v>
      </c>
    </row>
    <row r="950" spans="1:6" x14ac:dyDescent="0.3">
      <c r="A950" t="s">
        <v>17</v>
      </c>
      <c r="B950" t="s">
        <v>38</v>
      </c>
      <c r="C950" t="s">
        <v>4</v>
      </c>
      <c r="D950" t="s">
        <v>76</v>
      </c>
      <c r="E950" s="17">
        <v>0</v>
      </c>
      <c r="F950" s="1">
        <v>45748</v>
      </c>
    </row>
    <row r="951" spans="1:6" x14ac:dyDescent="0.3">
      <c r="A951" t="s">
        <v>28</v>
      </c>
      <c r="B951" t="s">
        <v>38</v>
      </c>
      <c r="C951" t="s">
        <v>9</v>
      </c>
      <c r="D951" t="s">
        <v>76</v>
      </c>
      <c r="E951" s="17">
        <v>127.7</v>
      </c>
      <c r="F951" s="1">
        <v>45748</v>
      </c>
    </row>
    <row r="952" spans="1:6" x14ac:dyDescent="0.3">
      <c r="A952" t="s">
        <v>12</v>
      </c>
      <c r="B952" t="s">
        <v>38</v>
      </c>
      <c r="C952" t="s">
        <v>4</v>
      </c>
      <c r="D952" t="s">
        <v>76</v>
      </c>
      <c r="E952" s="17">
        <v>92.8</v>
      </c>
      <c r="F952" s="1">
        <v>45748</v>
      </c>
    </row>
    <row r="953" spans="1:6" x14ac:dyDescent="0.3">
      <c r="A953" t="s">
        <v>17</v>
      </c>
      <c r="B953" t="s">
        <v>38</v>
      </c>
      <c r="C953" t="s">
        <v>6</v>
      </c>
      <c r="D953" t="s">
        <v>76</v>
      </c>
      <c r="E953" s="17">
        <v>0</v>
      </c>
      <c r="F953" s="1">
        <v>45748</v>
      </c>
    </row>
    <row r="954" spans="1:6" x14ac:dyDescent="0.3">
      <c r="A954" t="s">
        <v>11</v>
      </c>
      <c r="B954" t="s">
        <v>38</v>
      </c>
      <c r="C954" t="s">
        <v>9</v>
      </c>
      <c r="D954" t="s">
        <v>76</v>
      </c>
      <c r="E954" s="17">
        <v>2060</v>
      </c>
      <c r="F954" s="1">
        <v>45748</v>
      </c>
    </row>
    <row r="955" spans="1:6" x14ac:dyDescent="0.3">
      <c r="A955" t="s">
        <v>7</v>
      </c>
      <c r="B955" t="s">
        <v>38</v>
      </c>
      <c r="C955" t="s">
        <v>6</v>
      </c>
      <c r="D955" t="s">
        <v>76</v>
      </c>
      <c r="E955" s="17">
        <v>43.7</v>
      </c>
      <c r="F955" s="1">
        <v>45748</v>
      </c>
    </row>
    <row r="956" spans="1:6" x14ac:dyDescent="0.3">
      <c r="A956" t="s">
        <v>3</v>
      </c>
      <c r="B956" t="s">
        <v>38</v>
      </c>
      <c r="C956" t="s">
        <v>4</v>
      </c>
      <c r="D956" t="s">
        <v>76</v>
      </c>
      <c r="E956" s="17">
        <v>0</v>
      </c>
      <c r="F956" s="1">
        <v>45748</v>
      </c>
    </row>
    <row r="957" spans="1:6" x14ac:dyDescent="0.3">
      <c r="A957" t="s">
        <v>16</v>
      </c>
      <c r="B957" t="s">
        <v>38</v>
      </c>
      <c r="C957" t="s">
        <v>9</v>
      </c>
      <c r="D957" t="s">
        <v>76</v>
      </c>
      <c r="E957" s="17">
        <v>72.099999999999994</v>
      </c>
      <c r="F957" s="1">
        <v>45748</v>
      </c>
    </row>
    <row r="958" spans="1:6" x14ac:dyDescent="0.3">
      <c r="A958" t="s">
        <v>8</v>
      </c>
      <c r="B958" t="s">
        <v>38</v>
      </c>
      <c r="C958" t="s">
        <v>9</v>
      </c>
      <c r="D958" t="s">
        <v>76</v>
      </c>
      <c r="E958" s="17">
        <v>122.1</v>
      </c>
      <c r="F958" s="1">
        <v>45748</v>
      </c>
    </row>
    <row r="959" spans="1:6" x14ac:dyDescent="0.3">
      <c r="A959" t="s">
        <v>18</v>
      </c>
      <c r="B959" t="s">
        <v>38</v>
      </c>
      <c r="C959" t="s">
        <v>6</v>
      </c>
      <c r="D959" t="s">
        <v>76</v>
      </c>
      <c r="E959" s="17">
        <v>51.4</v>
      </c>
      <c r="F959" s="1">
        <v>45748</v>
      </c>
    </row>
    <row r="960" spans="1:6" x14ac:dyDescent="0.3">
      <c r="A960" t="s">
        <v>23</v>
      </c>
      <c r="B960" t="s">
        <v>38</v>
      </c>
      <c r="C960" t="s">
        <v>6</v>
      </c>
      <c r="D960" t="s">
        <v>76</v>
      </c>
      <c r="E960" s="17">
        <v>56.5</v>
      </c>
      <c r="F960" s="1">
        <v>45748</v>
      </c>
    </row>
    <row r="961" spans="1:6" x14ac:dyDescent="0.3">
      <c r="A961" t="s">
        <v>7</v>
      </c>
      <c r="B961" t="s">
        <v>38</v>
      </c>
      <c r="C961" t="s">
        <v>4</v>
      </c>
      <c r="D961" t="s">
        <v>76</v>
      </c>
      <c r="E961" s="17">
        <v>41.5</v>
      </c>
      <c r="F961" s="1">
        <v>45748</v>
      </c>
    </row>
    <row r="962" spans="1:6" x14ac:dyDescent="0.3">
      <c r="A962" t="s">
        <v>18</v>
      </c>
      <c r="B962" t="s">
        <v>38</v>
      </c>
      <c r="C962" t="s">
        <v>9</v>
      </c>
      <c r="D962" t="s">
        <v>76</v>
      </c>
      <c r="E962" s="17">
        <v>211.1</v>
      </c>
      <c r="F962" s="1">
        <v>45748</v>
      </c>
    </row>
    <row r="963" spans="1:6" x14ac:dyDescent="0.3">
      <c r="A963" t="s">
        <v>5</v>
      </c>
      <c r="B963" t="s">
        <v>38</v>
      </c>
      <c r="C963" t="s">
        <v>9</v>
      </c>
      <c r="D963" t="s">
        <v>76</v>
      </c>
      <c r="E963" s="17">
        <v>50.9</v>
      </c>
      <c r="F963" s="1">
        <v>45748</v>
      </c>
    </row>
    <row r="964" spans="1:6" x14ac:dyDescent="0.3">
      <c r="A964" t="s">
        <v>12</v>
      </c>
      <c r="B964" t="s">
        <v>38</v>
      </c>
      <c r="C964" t="s">
        <v>6</v>
      </c>
      <c r="D964" t="s">
        <v>76</v>
      </c>
      <c r="E964" s="17">
        <v>17.3</v>
      </c>
      <c r="F964" s="1">
        <v>45748</v>
      </c>
    </row>
    <row r="965" spans="1:6" x14ac:dyDescent="0.3">
      <c r="A965" t="s">
        <v>22</v>
      </c>
      <c r="B965" t="s">
        <v>38</v>
      </c>
      <c r="C965" t="s">
        <v>6</v>
      </c>
      <c r="D965" t="s">
        <v>76</v>
      </c>
      <c r="E965" s="17">
        <v>24.6</v>
      </c>
      <c r="F965" s="1">
        <v>45748</v>
      </c>
    </row>
    <row r="966" spans="1:6" x14ac:dyDescent="0.3">
      <c r="A966" t="s">
        <v>18</v>
      </c>
      <c r="B966" t="s">
        <v>38</v>
      </c>
      <c r="C966" t="s">
        <v>4</v>
      </c>
      <c r="D966" t="s">
        <v>76</v>
      </c>
      <c r="E966" s="17">
        <v>159.69999999999999</v>
      </c>
      <c r="F966" s="1">
        <v>45748</v>
      </c>
    </row>
    <row r="967" spans="1:6" x14ac:dyDescent="0.3">
      <c r="A967" t="s">
        <v>21</v>
      </c>
      <c r="B967" t="s">
        <v>38</v>
      </c>
      <c r="C967" t="s">
        <v>6</v>
      </c>
      <c r="D967" t="s">
        <v>76</v>
      </c>
      <c r="E967" s="17">
        <v>67.3</v>
      </c>
      <c r="F967" s="1">
        <v>45748</v>
      </c>
    </row>
    <row r="968" spans="1:6" x14ac:dyDescent="0.3">
      <c r="A968" t="s">
        <v>10</v>
      </c>
      <c r="B968" t="s">
        <v>38</v>
      </c>
      <c r="C968" t="s">
        <v>9</v>
      </c>
      <c r="D968" t="s">
        <v>76</v>
      </c>
      <c r="E968" s="17">
        <v>173.9</v>
      </c>
      <c r="F968" s="1">
        <v>45748</v>
      </c>
    </row>
    <row r="969" spans="1:6" x14ac:dyDescent="0.3">
      <c r="A969" t="s">
        <v>30</v>
      </c>
      <c r="B969" t="s">
        <v>38</v>
      </c>
      <c r="C969" t="s">
        <v>6</v>
      </c>
      <c r="D969" t="s">
        <v>76</v>
      </c>
      <c r="E969" s="17">
        <v>35.200000000000003</v>
      </c>
      <c r="F969" s="1">
        <v>45748</v>
      </c>
    </row>
    <row r="970" spans="1:6" x14ac:dyDescent="0.3">
      <c r="A970" t="s">
        <v>28</v>
      </c>
      <c r="B970" t="s">
        <v>38</v>
      </c>
      <c r="C970" t="s">
        <v>4</v>
      </c>
      <c r="D970" t="s">
        <v>76</v>
      </c>
      <c r="E970" s="17">
        <v>67.599999999999994</v>
      </c>
      <c r="F970" s="1">
        <v>45748</v>
      </c>
    </row>
    <row r="971" spans="1:6" x14ac:dyDescent="0.3">
      <c r="A971" t="s">
        <v>24</v>
      </c>
      <c r="B971" t="s">
        <v>38</v>
      </c>
      <c r="C971" t="s">
        <v>4</v>
      </c>
      <c r="D971" t="s">
        <v>76</v>
      </c>
      <c r="E971" s="17">
        <v>0</v>
      </c>
      <c r="F971" s="1">
        <v>45748</v>
      </c>
    </row>
    <row r="972" spans="1:6" x14ac:dyDescent="0.3">
      <c r="A972" t="s">
        <v>25</v>
      </c>
      <c r="B972" t="s">
        <v>38</v>
      </c>
      <c r="C972" t="s">
        <v>4</v>
      </c>
      <c r="D972" t="s">
        <v>76</v>
      </c>
      <c r="E972" s="17">
        <v>3.1</v>
      </c>
      <c r="F972" s="1">
        <v>45748</v>
      </c>
    </row>
    <row r="973" spans="1:6" x14ac:dyDescent="0.3">
      <c r="A973" t="s">
        <v>29</v>
      </c>
      <c r="B973" t="s">
        <v>38</v>
      </c>
      <c r="C973" t="s">
        <v>9</v>
      </c>
      <c r="D973" t="s">
        <v>76</v>
      </c>
      <c r="E973" s="17">
        <v>76.8</v>
      </c>
      <c r="F973" s="1">
        <v>45748</v>
      </c>
    </row>
    <row r="974" spans="1:6" x14ac:dyDescent="0.3">
      <c r="A974" t="s">
        <v>24</v>
      </c>
      <c r="B974" t="s">
        <v>38</v>
      </c>
      <c r="C974" t="s">
        <v>6</v>
      </c>
      <c r="D974" t="s">
        <v>76</v>
      </c>
      <c r="E974" s="17">
        <v>0</v>
      </c>
      <c r="F974" s="1">
        <v>45748</v>
      </c>
    </row>
    <row r="975" spans="1:6" x14ac:dyDescent="0.3">
      <c r="A975" t="s">
        <v>26</v>
      </c>
      <c r="B975" t="s">
        <v>38</v>
      </c>
      <c r="C975" t="s">
        <v>9</v>
      </c>
      <c r="D975" t="s">
        <v>76</v>
      </c>
      <c r="E975" s="17">
        <v>147.9</v>
      </c>
      <c r="F975" s="1">
        <v>45748</v>
      </c>
    </row>
    <row r="976" spans="1:6" x14ac:dyDescent="0.3">
      <c r="A976" t="s">
        <v>27</v>
      </c>
      <c r="B976" t="s">
        <v>38</v>
      </c>
      <c r="C976" t="s">
        <v>6</v>
      </c>
      <c r="D976" t="s">
        <v>76</v>
      </c>
      <c r="E976" s="17">
        <v>99.3</v>
      </c>
      <c r="F976" s="1">
        <v>45748</v>
      </c>
    </row>
    <row r="977" spans="1:6" x14ac:dyDescent="0.3">
      <c r="A977" t="s">
        <v>28</v>
      </c>
      <c r="B977" t="s">
        <v>38</v>
      </c>
      <c r="C977" t="s">
        <v>6</v>
      </c>
      <c r="D977" t="s">
        <v>76</v>
      </c>
      <c r="E977" s="17">
        <v>60.1</v>
      </c>
      <c r="F977" s="1">
        <v>45748</v>
      </c>
    </row>
    <row r="978" spans="1:6" x14ac:dyDescent="0.3">
      <c r="A978" t="s">
        <v>24</v>
      </c>
      <c r="B978" t="s">
        <v>38</v>
      </c>
      <c r="C978" t="s">
        <v>9</v>
      </c>
      <c r="D978" t="s">
        <v>76</v>
      </c>
      <c r="E978" s="17">
        <v>16.600000000000001</v>
      </c>
      <c r="F978" s="1">
        <v>45748</v>
      </c>
    </row>
    <row r="979" spans="1:6" x14ac:dyDescent="0.3">
      <c r="A979" t="s">
        <v>27</v>
      </c>
      <c r="B979" t="s">
        <v>38</v>
      </c>
      <c r="C979" t="s">
        <v>9</v>
      </c>
      <c r="D979" t="s">
        <v>76</v>
      </c>
      <c r="E979" s="17">
        <v>198.3</v>
      </c>
      <c r="F979" s="1">
        <v>45748</v>
      </c>
    </row>
    <row r="980" spans="1:6" x14ac:dyDescent="0.3">
      <c r="A980" t="s">
        <v>30</v>
      </c>
      <c r="B980" t="s">
        <v>38</v>
      </c>
      <c r="C980" t="s">
        <v>9</v>
      </c>
      <c r="D980" t="s">
        <v>76</v>
      </c>
      <c r="E980" s="17">
        <v>128.9</v>
      </c>
      <c r="F980" s="1">
        <v>45748</v>
      </c>
    </row>
    <row r="981" spans="1:6" x14ac:dyDescent="0.3">
      <c r="A981" t="s">
        <v>25</v>
      </c>
      <c r="B981" t="s">
        <v>38</v>
      </c>
      <c r="C981" t="s">
        <v>6</v>
      </c>
      <c r="D981" t="s">
        <v>76</v>
      </c>
      <c r="E981" s="17">
        <v>35.299999999999997</v>
      </c>
      <c r="F981" s="1">
        <v>45748</v>
      </c>
    </row>
    <row r="982" spans="1:6" x14ac:dyDescent="0.3">
      <c r="A982" t="s">
        <v>29</v>
      </c>
      <c r="B982" t="s">
        <v>38</v>
      </c>
      <c r="C982" t="s">
        <v>6</v>
      </c>
      <c r="D982" t="s">
        <v>76</v>
      </c>
      <c r="E982" s="17">
        <v>22.4</v>
      </c>
      <c r="F982" s="1">
        <v>45748</v>
      </c>
    </row>
    <row r="983" spans="1:6" x14ac:dyDescent="0.3">
      <c r="A983" t="s">
        <v>30</v>
      </c>
      <c r="B983" t="s">
        <v>38</v>
      </c>
      <c r="C983" t="s">
        <v>4</v>
      </c>
      <c r="D983" t="s">
        <v>76</v>
      </c>
      <c r="E983" s="17">
        <v>93.7</v>
      </c>
      <c r="F983" s="1">
        <v>45748</v>
      </c>
    </row>
    <row r="984" spans="1:6" x14ac:dyDescent="0.3">
      <c r="A984" t="s">
        <v>26</v>
      </c>
      <c r="B984" t="s">
        <v>38</v>
      </c>
      <c r="C984" t="s">
        <v>6</v>
      </c>
      <c r="D984" t="s">
        <v>76</v>
      </c>
      <c r="E984" s="17">
        <v>19.399999999999999</v>
      </c>
      <c r="F984" s="1">
        <v>45748</v>
      </c>
    </row>
    <row r="985" spans="1:6" x14ac:dyDescent="0.3">
      <c r="A985" t="s">
        <v>27</v>
      </c>
      <c r="B985" t="s">
        <v>38</v>
      </c>
      <c r="C985" t="s">
        <v>4</v>
      </c>
      <c r="D985" t="s">
        <v>76</v>
      </c>
      <c r="E985" s="17">
        <v>99</v>
      </c>
      <c r="F985" s="1">
        <v>45748</v>
      </c>
    </row>
    <row r="986" spans="1:6" x14ac:dyDescent="0.3">
      <c r="A986" t="s">
        <v>26</v>
      </c>
      <c r="B986" t="s">
        <v>38</v>
      </c>
      <c r="C986" t="s">
        <v>4</v>
      </c>
      <c r="D986" t="s">
        <v>76</v>
      </c>
      <c r="E986" s="17">
        <v>128.5</v>
      </c>
      <c r="F986" s="1">
        <v>45748</v>
      </c>
    </row>
    <row r="987" spans="1:6" x14ac:dyDescent="0.3">
      <c r="A987" t="s">
        <v>29</v>
      </c>
      <c r="B987" t="s">
        <v>38</v>
      </c>
      <c r="C987" t="s">
        <v>4</v>
      </c>
      <c r="D987" t="s">
        <v>76</v>
      </c>
      <c r="E987" s="17">
        <v>54.4</v>
      </c>
      <c r="F987" s="1">
        <v>45748</v>
      </c>
    </row>
    <row r="988" spans="1:6" x14ac:dyDescent="0.3">
      <c r="A988" t="s">
        <v>25</v>
      </c>
      <c r="B988" t="s">
        <v>38</v>
      </c>
      <c r="C988" t="s">
        <v>9</v>
      </c>
      <c r="D988" t="s">
        <v>76</v>
      </c>
      <c r="E988" s="17">
        <v>38.4</v>
      </c>
      <c r="F988" s="1">
        <v>45748</v>
      </c>
    </row>
    <row r="989" spans="1:6" x14ac:dyDescent="0.3">
      <c r="A989" t="s">
        <v>3</v>
      </c>
      <c r="B989" t="s">
        <v>38</v>
      </c>
      <c r="C989" t="s">
        <v>9</v>
      </c>
      <c r="D989" t="s">
        <v>77</v>
      </c>
      <c r="E989" s="17">
        <v>2.2000000000000002</v>
      </c>
      <c r="F989" s="1">
        <v>46143</v>
      </c>
    </row>
    <row r="990" spans="1:6" x14ac:dyDescent="0.3">
      <c r="A990" t="s">
        <v>19</v>
      </c>
      <c r="B990" t="s">
        <v>38</v>
      </c>
      <c r="C990" t="s">
        <v>4</v>
      </c>
      <c r="D990" t="s">
        <v>77</v>
      </c>
      <c r="E990" s="17">
        <v>32.1</v>
      </c>
      <c r="F990" s="1">
        <v>46143</v>
      </c>
    </row>
    <row r="991" spans="1:6" x14ac:dyDescent="0.3">
      <c r="A991" t="s">
        <v>8</v>
      </c>
      <c r="B991" t="s">
        <v>38</v>
      </c>
      <c r="C991" t="s">
        <v>4</v>
      </c>
      <c r="D991" t="s">
        <v>77</v>
      </c>
      <c r="E991" s="17">
        <v>69.099999999999994</v>
      </c>
      <c r="F991" s="1">
        <v>46143</v>
      </c>
    </row>
    <row r="992" spans="1:6" x14ac:dyDescent="0.3">
      <c r="A992" t="s">
        <v>23</v>
      </c>
      <c r="B992" t="s">
        <v>38</v>
      </c>
      <c r="C992" t="s">
        <v>9</v>
      </c>
      <c r="D992" t="s">
        <v>77</v>
      </c>
      <c r="E992" s="17">
        <v>91.7</v>
      </c>
      <c r="F992" s="1">
        <v>46143</v>
      </c>
    </row>
    <row r="993" spans="1:6" x14ac:dyDescent="0.3">
      <c r="A993" t="s">
        <v>22</v>
      </c>
      <c r="B993" t="s">
        <v>38</v>
      </c>
      <c r="C993" t="s">
        <v>4</v>
      </c>
      <c r="D993" t="s">
        <v>77</v>
      </c>
      <c r="E993" s="17">
        <v>57.3</v>
      </c>
      <c r="F993" s="1">
        <v>46143</v>
      </c>
    </row>
    <row r="994" spans="1:6" x14ac:dyDescent="0.3">
      <c r="A994" t="s">
        <v>17</v>
      </c>
      <c r="B994" t="s">
        <v>38</v>
      </c>
      <c r="C994" t="s">
        <v>9</v>
      </c>
      <c r="D994" t="s">
        <v>77</v>
      </c>
      <c r="E994" s="17">
        <v>0</v>
      </c>
      <c r="F994" s="1">
        <v>46143</v>
      </c>
    </row>
    <row r="995" spans="1:6" x14ac:dyDescent="0.3">
      <c r="A995" t="s">
        <v>21</v>
      </c>
      <c r="B995" t="s">
        <v>38</v>
      </c>
      <c r="C995" t="s">
        <v>4</v>
      </c>
      <c r="D995" t="s">
        <v>77</v>
      </c>
      <c r="E995" s="17">
        <v>15.9</v>
      </c>
      <c r="F995" s="1">
        <v>46143</v>
      </c>
    </row>
    <row r="996" spans="1:6" x14ac:dyDescent="0.3">
      <c r="A996" t="s">
        <v>14</v>
      </c>
      <c r="B996" t="s">
        <v>38</v>
      </c>
      <c r="C996" t="s">
        <v>9</v>
      </c>
      <c r="D996" t="s">
        <v>77</v>
      </c>
      <c r="E996" s="17">
        <v>4.5999999999999996</v>
      </c>
      <c r="F996" s="1">
        <v>46143</v>
      </c>
    </row>
    <row r="997" spans="1:6" x14ac:dyDescent="0.3">
      <c r="A997" t="s">
        <v>13</v>
      </c>
      <c r="B997" t="s">
        <v>38</v>
      </c>
      <c r="C997" t="s">
        <v>4</v>
      </c>
      <c r="D997" t="s">
        <v>77</v>
      </c>
      <c r="E997" s="17">
        <v>0.5</v>
      </c>
      <c r="F997" s="1">
        <v>46143</v>
      </c>
    </row>
    <row r="998" spans="1:6" x14ac:dyDescent="0.3">
      <c r="A998" t="s">
        <v>13</v>
      </c>
      <c r="B998" t="s">
        <v>38</v>
      </c>
      <c r="C998" t="s">
        <v>9</v>
      </c>
      <c r="D998" t="s">
        <v>77</v>
      </c>
      <c r="E998" s="17">
        <v>35.700000000000003</v>
      </c>
      <c r="F998" s="1">
        <v>46143</v>
      </c>
    </row>
    <row r="999" spans="1:6" x14ac:dyDescent="0.3">
      <c r="A999" t="s">
        <v>11</v>
      </c>
      <c r="B999" t="s">
        <v>38</v>
      </c>
      <c r="C999" t="s">
        <v>6</v>
      </c>
      <c r="D999" t="s">
        <v>77</v>
      </c>
      <c r="E999" s="17">
        <v>1057.7</v>
      </c>
      <c r="F999" s="1">
        <v>46143</v>
      </c>
    </row>
    <row r="1000" spans="1:6" x14ac:dyDescent="0.3">
      <c r="A1000" t="s">
        <v>15</v>
      </c>
      <c r="B1000" t="s">
        <v>38</v>
      </c>
      <c r="C1000" t="s">
        <v>4</v>
      </c>
      <c r="D1000" t="s">
        <v>77</v>
      </c>
      <c r="E1000" s="17">
        <v>8.1999999999999993</v>
      </c>
      <c r="F1000" s="1">
        <v>46143</v>
      </c>
    </row>
    <row r="1001" spans="1:6" x14ac:dyDescent="0.3">
      <c r="A1001" t="s">
        <v>16</v>
      </c>
      <c r="B1001" t="s">
        <v>38</v>
      </c>
      <c r="C1001" t="s">
        <v>6</v>
      </c>
      <c r="D1001" t="s">
        <v>77</v>
      </c>
      <c r="E1001" s="17">
        <v>55.8</v>
      </c>
      <c r="F1001" s="1">
        <v>46143</v>
      </c>
    </row>
    <row r="1002" spans="1:6" x14ac:dyDescent="0.3">
      <c r="A1002" t="s">
        <v>12</v>
      </c>
      <c r="B1002" t="s">
        <v>38</v>
      </c>
      <c r="C1002" t="s">
        <v>9</v>
      </c>
      <c r="D1002" t="s">
        <v>77</v>
      </c>
      <c r="E1002" s="17">
        <v>139.4</v>
      </c>
      <c r="F1002" s="1">
        <v>46143</v>
      </c>
    </row>
    <row r="1003" spans="1:6" x14ac:dyDescent="0.3">
      <c r="A1003" t="s">
        <v>10</v>
      </c>
      <c r="B1003" t="s">
        <v>38</v>
      </c>
      <c r="C1003" t="s">
        <v>6</v>
      </c>
      <c r="D1003" t="s">
        <v>77</v>
      </c>
      <c r="E1003" s="17">
        <v>94.5</v>
      </c>
      <c r="F1003" s="1">
        <v>46143</v>
      </c>
    </row>
    <row r="1004" spans="1:6" x14ac:dyDescent="0.3">
      <c r="A1004" t="s">
        <v>19</v>
      </c>
      <c r="B1004" t="s">
        <v>38</v>
      </c>
      <c r="C1004" t="s">
        <v>6</v>
      </c>
      <c r="D1004" t="s">
        <v>77</v>
      </c>
      <c r="E1004" s="17">
        <v>39.5</v>
      </c>
      <c r="F1004" s="1">
        <v>46143</v>
      </c>
    </row>
    <row r="1005" spans="1:6" x14ac:dyDescent="0.3">
      <c r="A1005" t="s">
        <v>14</v>
      </c>
      <c r="B1005" t="s">
        <v>38</v>
      </c>
      <c r="C1005" t="s">
        <v>4</v>
      </c>
      <c r="D1005" t="s">
        <v>77</v>
      </c>
      <c r="E1005" s="17">
        <v>1</v>
      </c>
      <c r="F1005" s="1">
        <v>46143</v>
      </c>
    </row>
    <row r="1006" spans="1:6" x14ac:dyDescent="0.3">
      <c r="A1006" t="s">
        <v>8</v>
      </c>
      <c r="B1006" t="s">
        <v>38</v>
      </c>
      <c r="C1006" t="s">
        <v>6</v>
      </c>
      <c r="D1006" t="s">
        <v>77</v>
      </c>
      <c r="E1006" s="17">
        <v>61.1</v>
      </c>
      <c r="F1006" s="1">
        <v>46143</v>
      </c>
    </row>
    <row r="1007" spans="1:6" x14ac:dyDescent="0.3">
      <c r="A1007" t="s">
        <v>20</v>
      </c>
      <c r="B1007" t="s">
        <v>38</v>
      </c>
      <c r="C1007" t="s">
        <v>4</v>
      </c>
      <c r="D1007" t="s">
        <v>77</v>
      </c>
      <c r="E1007" s="17">
        <v>8.6</v>
      </c>
      <c r="F1007" s="1">
        <v>46143</v>
      </c>
    </row>
    <row r="1008" spans="1:6" x14ac:dyDescent="0.3">
      <c r="A1008" t="s">
        <v>15</v>
      </c>
      <c r="B1008" t="s">
        <v>38</v>
      </c>
      <c r="C1008" t="s">
        <v>6</v>
      </c>
      <c r="D1008" t="s">
        <v>77</v>
      </c>
      <c r="E1008" s="17">
        <v>60.1</v>
      </c>
      <c r="F1008" s="1">
        <v>46143</v>
      </c>
    </row>
    <row r="1009" spans="1:6" x14ac:dyDescent="0.3">
      <c r="A1009" t="s">
        <v>15</v>
      </c>
      <c r="B1009" t="s">
        <v>38</v>
      </c>
      <c r="C1009" t="s">
        <v>9</v>
      </c>
      <c r="D1009" t="s">
        <v>77</v>
      </c>
      <c r="E1009" s="17">
        <v>68.3</v>
      </c>
      <c r="F1009" s="1">
        <v>46143</v>
      </c>
    </row>
    <row r="1010" spans="1:6" x14ac:dyDescent="0.3">
      <c r="A1010" t="s">
        <v>14</v>
      </c>
      <c r="B1010" t="s">
        <v>38</v>
      </c>
      <c r="C1010" t="s">
        <v>6</v>
      </c>
      <c r="D1010" t="s">
        <v>77</v>
      </c>
      <c r="E1010" s="17">
        <v>3.6</v>
      </c>
      <c r="F1010" s="1">
        <v>46143</v>
      </c>
    </row>
    <row r="1011" spans="1:6" x14ac:dyDescent="0.3">
      <c r="A1011" t="s">
        <v>21</v>
      </c>
      <c r="B1011" t="s">
        <v>38</v>
      </c>
      <c r="C1011" t="s">
        <v>9</v>
      </c>
      <c r="D1011" t="s">
        <v>77</v>
      </c>
      <c r="E1011" s="17">
        <v>79.7</v>
      </c>
      <c r="F1011" s="1">
        <v>46143</v>
      </c>
    </row>
    <row r="1012" spans="1:6" x14ac:dyDescent="0.3">
      <c r="A1012" t="s">
        <v>23</v>
      </c>
      <c r="B1012" t="s">
        <v>38</v>
      </c>
      <c r="C1012" t="s">
        <v>4</v>
      </c>
      <c r="D1012" t="s">
        <v>77</v>
      </c>
      <c r="E1012" s="17">
        <v>33.299999999999997</v>
      </c>
      <c r="F1012" s="1">
        <v>46143</v>
      </c>
    </row>
    <row r="1013" spans="1:6" x14ac:dyDescent="0.3">
      <c r="A1013" t="s">
        <v>16</v>
      </c>
      <c r="B1013" t="s">
        <v>38</v>
      </c>
      <c r="C1013" t="s">
        <v>4</v>
      </c>
      <c r="D1013" t="s">
        <v>77</v>
      </c>
      <c r="E1013" s="17">
        <v>33.1</v>
      </c>
      <c r="F1013" s="1">
        <v>46143</v>
      </c>
    </row>
    <row r="1014" spans="1:6" x14ac:dyDescent="0.3">
      <c r="A1014" t="s">
        <v>10</v>
      </c>
      <c r="B1014" t="s">
        <v>38</v>
      </c>
      <c r="C1014" t="s">
        <v>4</v>
      </c>
      <c r="D1014" t="s">
        <v>77</v>
      </c>
      <c r="E1014" s="17">
        <v>124.9</v>
      </c>
      <c r="F1014" s="1">
        <v>46143</v>
      </c>
    </row>
    <row r="1015" spans="1:6" x14ac:dyDescent="0.3">
      <c r="A1015" t="s">
        <v>22</v>
      </c>
      <c r="B1015" t="s">
        <v>38</v>
      </c>
      <c r="C1015" t="s">
        <v>9</v>
      </c>
      <c r="D1015" t="s">
        <v>77</v>
      </c>
      <c r="E1015" s="17">
        <v>81.599999999999994</v>
      </c>
      <c r="F1015" s="1">
        <v>46143</v>
      </c>
    </row>
    <row r="1016" spans="1:6" x14ac:dyDescent="0.3">
      <c r="A1016" t="s">
        <v>5</v>
      </c>
      <c r="B1016" t="s">
        <v>38</v>
      </c>
      <c r="C1016" t="s">
        <v>4</v>
      </c>
      <c r="D1016" t="s">
        <v>77</v>
      </c>
      <c r="E1016" s="17">
        <v>23.3</v>
      </c>
      <c r="F1016" s="1">
        <v>46143</v>
      </c>
    </row>
    <row r="1017" spans="1:6" x14ac:dyDescent="0.3">
      <c r="A1017" t="s">
        <v>5</v>
      </c>
      <c r="B1017" t="s">
        <v>38</v>
      </c>
      <c r="C1017" t="s">
        <v>6</v>
      </c>
      <c r="D1017" t="s">
        <v>77</v>
      </c>
      <c r="E1017" s="17">
        <v>40.5</v>
      </c>
      <c r="F1017" s="1">
        <v>46143</v>
      </c>
    </row>
    <row r="1018" spans="1:6" x14ac:dyDescent="0.3">
      <c r="A1018" t="s">
        <v>19</v>
      </c>
      <c r="B1018" t="s">
        <v>38</v>
      </c>
      <c r="C1018" t="s">
        <v>9</v>
      </c>
      <c r="D1018" t="s">
        <v>77</v>
      </c>
      <c r="E1018" s="17">
        <v>71.599999999999994</v>
      </c>
      <c r="F1018" s="1">
        <v>46143</v>
      </c>
    </row>
    <row r="1019" spans="1:6" x14ac:dyDescent="0.3">
      <c r="A1019" t="s">
        <v>13</v>
      </c>
      <c r="B1019" t="s">
        <v>38</v>
      </c>
      <c r="C1019" t="s">
        <v>6</v>
      </c>
      <c r="D1019" t="s">
        <v>77</v>
      </c>
      <c r="E1019" s="17">
        <v>35.200000000000003</v>
      </c>
      <c r="F1019" s="1">
        <v>46143</v>
      </c>
    </row>
    <row r="1020" spans="1:6" x14ac:dyDescent="0.3">
      <c r="A1020" t="s">
        <v>20</v>
      </c>
      <c r="B1020" t="s">
        <v>38</v>
      </c>
      <c r="C1020" t="s">
        <v>9</v>
      </c>
      <c r="D1020" t="s">
        <v>77</v>
      </c>
      <c r="E1020" s="17">
        <v>93.7</v>
      </c>
      <c r="F1020" s="1">
        <v>46143</v>
      </c>
    </row>
    <row r="1021" spans="1:6" x14ac:dyDescent="0.3">
      <c r="A1021" t="s">
        <v>7</v>
      </c>
      <c r="B1021" t="s">
        <v>38</v>
      </c>
      <c r="C1021" t="s">
        <v>9</v>
      </c>
      <c r="D1021" t="s">
        <v>77</v>
      </c>
      <c r="E1021" s="17">
        <v>100.2</v>
      </c>
      <c r="F1021" s="1">
        <v>46143</v>
      </c>
    </row>
    <row r="1022" spans="1:6" x14ac:dyDescent="0.3">
      <c r="A1022" t="s">
        <v>11</v>
      </c>
      <c r="B1022" t="s">
        <v>38</v>
      </c>
      <c r="C1022" t="s">
        <v>4</v>
      </c>
      <c r="D1022" t="s">
        <v>77</v>
      </c>
      <c r="E1022" s="17">
        <v>1371</v>
      </c>
      <c r="F1022" s="1">
        <v>46143</v>
      </c>
    </row>
    <row r="1023" spans="1:6" x14ac:dyDescent="0.3">
      <c r="A1023" t="s">
        <v>3</v>
      </c>
      <c r="B1023" t="s">
        <v>38</v>
      </c>
      <c r="C1023" t="s">
        <v>6</v>
      </c>
      <c r="D1023" t="s">
        <v>77</v>
      </c>
      <c r="E1023" s="17">
        <v>0</v>
      </c>
      <c r="F1023" s="1">
        <v>46143</v>
      </c>
    </row>
    <row r="1024" spans="1:6" x14ac:dyDescent="0.3">
      <c r="A1024" t="s">
        <v>20</v>
      </c>
      <c r="B1024" t="s">
        <v>38</v>
      </c>
      <c r="C1024" t="s">
        <v>6</v>
      </c>
      <c r="D1024" t="s">
        <v>77</v>
      </c>
      <c r="E1024" s="17">
        <v>85.1</v>
      </c>
      <c r="F1024" s="1">
        <v>46143</v>
      </c>
    </row>
    <row r="1025" spans="1:6" x14ac:dyDescent="0.3">
      <c r="A1025" t="s">
        <v>17</v>
      </c>
      <c r="B1025" t="s">
        <v>38</v>
      </c>
      <c r="C1025" t="s">
        <v>4</v>
      </c>
      <c r="D1025" t="s">
        <v>77</v>
      </c>
      <c r="E1025" s="17">
        <v>0</v>
      </c>
      <c r="F1025" s="1">
        <v>46143</v>
      </c>
    </row>
    <row r="1026" spans="1:6" x14ac:dyDescent="0.3">
      <c r="A1026" t="s">
        <v>28</v>
      </c>
      <c r="B1026" t="s">
        <v>38</v>
      </c>
      <c r="C1026" t="s">
        <v>9</v>
      </c>
      <c r="D1026" t="s">
        <v>77</v>
      </c>
      <c r="E1026" s="17">
        <v>147</v>
      </c>
      <c r="F1026" s="1">
        <v>46143</v>
      </c>
    </row>
    <row r="1027" spans="1:6" x14ac:dyDescent="0.3">
      <c r="A1027" t="s">
        <v>12</v>
      </c>
      <c r="B1027" t="s">
        <v>38</v>
      </c>
      <c r="C1027" t="s">
        <v>4</v>
      </c>
      <c r="D1027" t="s">
        <v>77</v>
      </c>
      <c r="E1027" s="17">
        <v>118.4</v>
      </c>
      <c r="F1027" s="1">
        <v>46143</v>
      </c>
    </row>
    <row r="1028" spans="1:6" x14ac:dyDescent="0.3">
      <c r="A1028" t="s">
        <v>17</v>
      </c>
      <c r="B1028" t="s">
        <v>38</v>
      </c>
      <c r="C1028" t="s">
        <v>6</v>
      </c>
      <c r="D1028" t="s">
        <v>77</v>
      </c>
      <c r="E1028" s="17">
        <v>0</v>
      </c>
      <c r="F1028" s="1">
        <v>46143</v>
      </c>
    </row>
    <row r="1029" spans="1:6" x14ac:dyDescent="0.3">
      <c r="A1029" t="s">
        <v>11</v>
      </c>
      <c r="B1029" t="s">
        <v>38</v>
      </c>
      <c r="C1029" t="s">
        <v>9</v>
      </c>
      <c r="D1029" t="s">
        <v>77</v>
      </c>
      <c r="E1029" s="17">
        <v>2428.6999999999998</v>
      </c>
      <c r="F1029" s="1">
        <v>46143</v>
      </c>
    </row>
    <row r="1030" spans="1:6" x14ac:dyDescent="0.3">
      <c r="A1030" t="s">
        <v>7</v>
      </c>
      <c r="B1030" t="s">
        <v>38</v>
      </c>
      <c r="C1030" t="s">
        <v>6</v>
      </c>
      <c r="D1030" t="s">
        <v>77</v>
      </c>
      <c r="E1030" s="17">
        <v>46.8</v>
      </c>
      <c r="F1030" s="1">
        <v>46143</v>
      </c>
    </row>
    <row r="1031" spans="1:6" x14ac:dyDescent="0.3">
      <c r="A1031" t="s">
        <v>3</v>
      </c>
      <c r="B1031" t="s">
        <v>38</v>
      </c>
      <c r="C1031" t="s">
        <v>4</v>
      </c>
      <c r="D1031" t="s">
        <v>77</v>
      </c>
      <c r="E1031" s="17">
        <v>0</v>
      </c>
      <c r="F1031" s="1">
        <v>46143</v>
      </c>
    </row>
    <row r="1032" spans="1:6" x14ac:dyDescent="0.3">
      <c r="A1032" t="s">
        <v>16</v>
      </c>
      <c r="B1032" t="s">
        <v>38</v>
      </c>
      <c r="C1032" t="s">
        <v>9</v>
      </c>
      <c r="D1032" t="s">
        <v>77</v>
      </c>
      <c r="E1032" s="17">
        <v>88.9</v>
      </c>
      <c r="F1032" s="1">
        <v>46143</v>
      </c>
    </row>
    <row r="1033" spans="1:6" x14ac:dyDescent="0.3">
      <c r="A1033" t="s">
        <v>8</v>
      </c>
      <c r="B1033" t="s">
        <v>38</v>
      </c>
      <c r="C1033" t="s">
        <v>9</v>
      </c>
      <c r="D1033" t="s">
        <v>77</v>
      </c>
      <c r="E1033" s="17">
        <v>130.19999999999999</v>
      </c>
      <c r="F1033" s="1">
        <v>46143</v>
      </c>
    </row>
    <row r="1034" spans="1:6" x14ac:dyDescent="0.3">
      <c r="A1034" t="s">
        <v>18</v>
      </c>
      <c r="B1034" t="s">
        <v>38</v>
      </c>
      <c r="C1034" t="s">
        <v>6</v>
      </c>
      <c r="D1034" t="s">
        <v>77</v>
      </c>
      <c r="E1034" s="17">
        <v>57.1</v>
      </c>
      <c r="F1034" s="1">
        <v>46143</v>
      </c>
    </row>
    <row r="1035" spans="1:6" x14ac:dyDescent="0.3">
      <c r="A1035" t="s">
        <v>23</v>
      </c>
      <c r="B1035" t="s">
        <v>38</v>
      </c>
      <c r="C1035" t="s">
        <v>6</v>
      </c>
      <c r="D1035" t="s">
        <v>77</v>
      </c>
      <c r="E1035" s="17">
        <v>58.4</v>
      </c>
      <c r="F1035" s="1">
        <v>46143</v>
      </c>
    </row>
    <row r="1036" spans="1:6" x14ac:dyDescent="0.3">
      <c r="A1036" t="s">
        <v>7</v>
      </c>
      <c r="B1036" t="s">
        <v>38</v>
      </c>
      <c r="C1036" t="s">
        <v>4</v>
      </c>
      <c r="D1036" t="s">
        <v>77</v>
      </c>
      <c r="E1036" s="17">
        <v>53.4</v>
      </c>
      <c r="F1036" s="1">
        <v>46143</v>
      </c>
    </row>
    <row r="1037" spans="1:6" x14ac:dyDescent="0.3">
      <c r="A1037" t="s">
        <v>18</v>
      </c>
      <c r="B1037" t="s">
        <v>38</v>
      </c>
      <c r="C1037" t="s">
        <v>9</v>
      </c>
      <c r="D1037" t="s">
        <v>77</v>
      </c>
      <c r="E1037" s="17">
        <v>254.9</v>
      </c>
      <c r="F1037" s="1">
        <v>46143</v>
      </c>
    </row>
    <row r="1038" spans="1:6" x14ac:dyDescent="0.3">
      <c r="A1038" t="s">
        <v>5</v>
      </c>
      <c r="B1038" t="s">
        <v>38</v>
      </c>
      <c r="C1038" t="s">
        <v>9</v>
      </c>
      <c r="D1038" t="s">
        <v>77</v>
      </c>
      <c r="E1038" s="17">
        <v>63.8</v>
      </c>
      <c r="F1038" s="1">
        <v>46143</v>
      </c>
    </row>
    <row r="1039" spans="1:6" x14ac:dyDescent="0.3">
      <c r="A1039" t="s">
        <v>12</v>
      </c>
      <c r="B1039" t="s">
        <v>38</v>
      </c>
      <c r="C1039" t="s">
        <v>6</v>
      </c>
      <c r="D1039" t="s">
        <v>77</v>
      </c>
      <c r="E1039" s="17">
        <v>21</v>
      </c>
      <c r="F1039" s="1">
        <v>46143</v>
      </c>
    </row>
    <row r="1040" spans="1:6" x14ac:dyDescent="0.3">
      <c r="A1040" t="s">
        <v>22</v>
      </c>
      <c r="B1040" t="s">
        <v>38</v>
      </c>
      <c r="C1040" t="s">
        <v>6</v>
      </c>
      <c r="D1040" t="s">
        <v>77</v>
      </c>
      <c r="E1040" s="17">
        <v>24.3</v>
      </c>
      <c r="F1040" s="1">
        <v>46143</v>
      </c>
    </row>
    <row r="1041" spans="1:6" x14ac:dyDescent="0.3">
      <c r="A1041" t="s">
        <v>18</v>
      </c>
      <c r="B1041" t="s">
        <v>38</v>
      </c>
      <c r="C1041" t="s">
        <v>4</v>
      </c>
      <c r="D1041" t="s">
        <v>77</v>
      </c>
      <c r="E1041" s="17">
        <v>197.8</v>
      </c>
      <c r="F1041" s="1">
        <v>46143</v>
      </c>
    </row>
    <row r="1042" spans="1:6" x14ac:dyDescent="0.3">
      <c r="A1042" t="s">
        <v>21</v>
      </c>
      <c r="B1042" t="s">
        <v>38</v>
      </c>
      <c r="C1042" t="s">
        <v>6</v>
      </c>
      <c r="D1042" t="s">
        <v>77</v>
      </c>
      <c r="E1042" s="17">
        <v>63.8</v>
      </c>
      <c r="F1042" s="1">
        <v>46143</v>
      </c>
    </row>
    <row r="1043" spans="1:6" x14ac:dyDescent="0.3">
      <c r="A1043" t="s">
        <v>10</v>
      </c>
      <c r="B1043" t="s">
        <v>38</v>
      </c>
      <c r="C1043" t="s">
        <v>9</v>
      </c>
      <c r="D1043" t="s">
        <v>77</v>
      </c>
      <c r="E1043" s="17">
        <v>219.4</v>
      </c>
      <c r="F1043" s="1">
        <v>46143</v>
      </c>
    </row>
    <row r="1044" spans="1:6" x14ac:dyDescent="0.3">
      <c r="A1044" t="s">
        <v>30</v>
      </c>
      <c r="B1044" t="s">
        <v>38</v>
      </c>
      <c r="C1044" t="s">
        <v>6</v>
      </c>
      <c r="D1044" t="s">
        <v>77</v>
      </c>
      <c r="E1044" s="17">
        <v>45.9</v>
      </c>
      <c r="F1044" s="1">
        <v>46143</v>
      </c>
    </row>
    <row r="1045" spans="1:6" x14ac:dyDescent="0.3">
      <c r="A1045" t="s">
        <v>28</v>
      </c>
      <c r="B1045" t="s">
        <v>38</v>
      </c>
      <c r="C1045" t="s">
        <v>4</v>
      </c>
      <c r="D1045" t="s">
        <v>77</v>
      </c>
      <c r="E1045" s="17">
        <v>96.6</v>
      </c>
      <c r="F1045" s="1">
        <v>46143</v>
      </c>
    </row>
    <row r="1046" spans="1:6" x14ac:dyDescent="0.3">
      <c r="A1046" t="s">
        <v>24</v>
      </c>
      <c r="B1046" t="s">
        <v>38</v>
      </c>
      <c r="C1046" t="s">
        <v>4</v>
      </c>
      <c r="D1046" t="s">
        <v>77</v>
      </c>
      <c r="E1046" s="17">
        <v>0</v>
      </c>
      <c r="F1046" s="1">
        <v>46143</v>
      </c>
    </row>
    <row r="1047" spans="1:6" x14ac:dyDescent="0.3">
      <c r="A1047" t="s">
        <v>25</v>
      </c>
      <c r="B1047" t="s">
        <v>38</v>
      </c>
      <c r="C1047" t="s">
        <v>4</v>
      </c>
      <c r="D1047" t="s">
        <v>77</v>
      </c>
      <c r="E1047" s="17">
        <v>3.2</v>
      </c>
      <c r="F1047" s="1">
        <v>46143</v>
      </c>
    </row>
    <row r="1048" spans="1:6" x14ac:dyDescent="0.3">
      <c r="A1048" t="s">
        <v>29</v>
      </c>
      <c r="B1048" t="s">
        <v>38</v>
      </c>
      <c r="C1048" t="s">
        <v>9</v>
      </c>
      <c r="D1048" t="s">
        <v>77</v>
      </c>
      <c r="E1048" s="17">
        <v>93.6</v>
      </c>
      <c r="F1048" s="1">
        <v>46143</v>
      </c>
    </row>
    <row r="1049" spans="1:6" x14ac:dyDescent="0.3">
      <c r="A1049" t="s">
        <v>24</v>
      </c>
      <c r="B1049" t="s">
        <v>38</v>
      </c>
      <c r="C1049" t="s">
        <v>6</v>
      </c>
      <c r="D1049" t="s">
        <v>77</v>
      </c>
      <c r="E1049" s="17">
        <v>0</v>
      </c>
      <c r="F1049" s="1">
        <v>46143</v>
      </c>
    </row>
    <row r="1050" spans="1:6" x14ac:dyDescent="0.3">
      <c r="A1050" t="s">
        <v>26</v>
      </c>
      <c r="B1050" t="s">
        <v>38</v>
      </c>
      <c r="C1050" t="s">
        <v>9</v>
      </c>
      <c r="D1050" t="s">
        <v>77</v>
      </c>
      <c r="E1050" s="17">
        <v>190.9</v>
      </c>
      <c r="F1050" s="1">
        <v>46143</v>
      </c>
    </row>
    <row r="1051" spans="1:6" x14ac:dyDescent="0.3">
      <c r="A1051" t="s">
        <v>27</v>
      </c>
      <c r="B1051" t="s">
        <v>38</v>
      </c>
      <c r="C1051" t="s">
        <v>6</v>
      </c>
      <c r="D1051" t="s">
        <v>77</v>
      </c>
      <c r="E1051" s="17">
        <v>110.8</v>
      </c>
      <c r="F1051" s="1">
        <v>46143</v>
      </c>
    </row>
    <row r="1052" spans="1:6" x14ac:dyDescent="0.3">
      <c r="A1052" t="s">
        <v>28</v>
      </c>
      <c r="B1052" t="s">
        <v>38</v>
      </c>
      <c r="C1052" t="s">
        <v>6</v>
      </c>
      <c r="D1052" t="s">
        <v>77</v>
      </c>
      <c r="E1052" s="17">
        <v>50.4</v>
      </c>
      <c r="F1052" s="1">
        <v>46143</v>
      </c>
    </row>
    <row r="1053" spans="1:6" x14ac:dyDescent="0.3">
      <c r="A1053" t="s">
        <v>24</v>
      </c>
      <c r="B1053" t="s">
        <v>38</v>
      </c>
      <c r="C1053" t="s">
        <v>9</v>
      </c>
      <c r="D1053" t="s">
        <v>77</v>
      </c>
      <c r="E1053" s="17">
        <v>17.8</v>
      </c>
      <c r="F1053" s="1">
        <v>46143</v>
      </c>
    </row>
    <row r="1054" spans="1:6" x14ac:dyDescent="0.3">
      <c r="A1054" t="s">
        <v>27</v>
      </c>
      <c r="B1054" t="s">
        <v>38</v>
      </c>
      <c r="C1054" t="s">
        <v>9</v>
      </c>
      <c r="D1054" t="s">
        <v>77</v>
      </c>
      <c r="E1054" s="17">
        <v>239.8</v>
      </c>
      <c r="F1054" s="1">
        <v>46143</v>
      </c>
    </row>
    <row r="1055" spans="1:6" x14ac:dyDescent="0.3">
      <c r="A1055" t="s">
        <v>30</v>
      </c>
      <c r="B1055" t="s">
        <v>38</v>
      </c>
      <c r="C1055" t="s">
        <v>9</v>
      </c>
      <c r="D1055" t="s">
        <v>77</v>
      </c>
      <c r="E1055" s="17">
        <v>177.1</v>
      </c>
      <c r="F1055" s="1">
        <v>46143</v>
      </c>
    </row>
    <row r="1056" spans="1:6" x14ac:dyDescent="0.3">
      <c r="A1056" t="s">
        <v>25</v>
      </c>
      <c r="B1056" t="s">
        <v>38</v>
      </c>
      <c r="C1056" t="s">
        <v>6</v>
      </c>
      <c r="D1056" t="s">
        <v>77</v>
      </c>
      <c r="E1056" s="17">
        <v>33.4</v>
      </c>
      <c r="F1056" s="1">
        <v>46143</v>
      </c>
    </row>
    <row r="1057" spans="1:6" x14ac:dyDescent="0.3">
      <c r="A1057" t="s">
        <v>29</v>
      </c>
      <c r="B1057" t="s">
        <v>38</v>
      </c>
      <c r="C1057" t="s">
        <v>6</v>
      </c>
      <c r="D1057" t="s">
        <v>77</v>
      </c>
      <c r="E1057" s="17">
        <v>26.8</v>
      </c>
      <c r="F1057" s="1">
        <v>46143</v>
      </c>
    </row>
    <row r="1058" spans="1:6" x14ac:dyDescent="0.3">
      <c r="A1058" t="s">
        <v>30</v>
      </c>
      <c r="B1058" t="s">
        <v>38</v>
      </c>
      <c r="C1058" t="s">
        <v>4</v>
      </c>
      <c r="D1058" t="s">
        <v>77</v>
      </c>
      <c r="E1058" s="17">
        <v>131.19999999999999</v>
      </c>
      <c r="F1058" s="1">
        <v>46143</v>
      </c>
    </row>
    <row r="1059" spans="1:6" x14ac:dyDescent="0.3">
      <c r="A1059" t="s">
        <v>26</v>
      </c>
      <c r="B1059" t="s">
        <v>38</v>
      </c>
      <c r="C1059" t="s">
        <v>6</v>
      </c>
      <c r="D1059" t="s">
        <v>77</v>
      </c>
      <c r="E1059" s="17">
        <v>24</v>
      </c>
      <c r="F1059" s="1">
        <v>46143</v>
      </c>
    </row>
    <row r="1060" spans="1:6" x14ac:dyDescent="0.3">
      <c r="A1060" t="s">
        <v>27</v>
      </c>
      <c r="B1060" t="s">
        <v>38</v>
      </c>
      <c r="C1060" t="s">
        <v>4</v>
      </c>
      <c r="D1060" t="s">
        <v>77</v>
      </c>
      <c r="E1060" s="17">
        <v>129</v>
      </c>
      <c r="F1060" s="1">
        <v>46143</v>
      </c>
    </row>
    <row r="1061" spans="1:6" x14ac:dyDescent="0.3">
      <c r="A1061" t="s">
        <v>26</v>
      </c>
      <c r="B1061" t="s">
        <v>38</v>
      </c>
      <c r="C1061" t="s">
        <v>4</v>
      </c>
      <c r="D1061" t="s">
        <v>77</v>
      </c>
      <c r="E1061" s="17">
        <v>166.9</v>
      </c>
      <c r="F1061" s="1">
        <v>46143</v>
      </c>
    </row>
    <row r="1062" spans="1:6" x14ac:dyDescent="0.3">
      <c r="A1062" t="s">
        <v>29</v>
      </c>
      <c r="B1062" t="s">
        <v>38</v>
      </c>
      <c r="C1062" t="s">
        <v>4</v>
      </c>
      <c r="D1062" t="s">
        <v>77</v>
      </c>
      <c r="E1062" s="17">
        <v>66.8</v>
      </c>
      <c r="F1062" s="1">
        <v>46143</v>
      </c>
    </row>
    <row r="1063" spans="1:6" x14ac:dyDescent="0.3">
      <c r="A1063" t="s">
        <v>25</v>
      </c>
      <c r="B1063" t="s">
        <v>38</v>
      </c>
      <c r="C1063" t="s">
        <v>9</v>
      </c>
      <c r="D1063" t="s">
        <v>77</v>
      </c>
      <c r="E1063" s="17">
        <v>36.6</v>
      </c>
      <c r="F1063" s="1">
        <v>46143</v>
      </c>
    </row>
    <row r="1064" spans="1:6" x14ac:dyDescent="0.3">
      <c r="A1064" t="s">
        <v>3</v>
      </c>
      <c r="B1064" t="s">
        <v>38</v>
      </c>
      <c r="C1064" t="s">
        <v>9</v>
      </c>
      <c r="D1064" t="s">
        <v>78</v>
      </c>
      <c r="E1064" s="17">
        <v>6.5</v>
      </c>
      <c r="F1064" s="1">
        <v>45778</v>
      </c>
    </row>
    <row r="1065" spans="1:6" x14ac:dyDescent="0.3">
      <c r="A1065" t="s">
        <v>19</v>
      </c>
      <c r="B1065" t="s">
        <v>38</v>
      </c>
      <c r="C1065" t="s">
        <v>4</v>
      </c>
      <c r="D1065" t="s">
        <v>78</v>
      </c>
      <c r="E1065" s="17">
        <v>30.6</v>
      </c>
      <c r="F1065" s="1">
        <v>45778</v>
      </c>
    </row>
    <row r="1066" spans="1:6" x14ac:dyDescent="0.3">
      <c r="A1066" t="s">
        <v>8</v>
      </c>
      <c r="B1066" t="s">
        <v>38</v>
      </c>
      <c r="C1066" t="s">
        <v>4</v>
      </c>
      <c r="D1066" t="s">
        <v>78</v>
      </c>
      <c r="E1066" s="17">
        <v>61.8</v>
      </c>
      <c r="F1066" s="1">
        <v>45778</v>
      </c>
    </row>
    <row r="1067" spans="1:6" x14ac:dyDescent="0.3">
      <c r="A1067" t="s">
        <v>23</v>
      </c>
      <c r="B1067" t="s">
        <v>38</v>
      </c>
      <c r="C1067" t="s">
        <v>9</v>
      </c>
      <c r="D1067" t="s">
        <v>78</v>
      </c>
      <c r="E1067" s="17">
        <v>103.3</v>
      </c>
      <c r="F1067" s="1">
        <v>45778</v>
      </c>
    </row>
    <row r="1068" spans="1:6" x14ac:dyDescent="0.3">
      <c r="A1068" t="s">
        <v>22</v>
      </c>
      <c r="B1068" t="s">
        <v>38</v>
      </c>
      <c r="C1068" t="s">
        <v>4</v>
      </c>
      <c r="D1068" t="s">
        <v>78</v>
      </c>
      <c r="E1068" s="17">
        <v>63.3</v>
      </c>
      <c r="F1068" s="1">
        <v>45778</v>
      </c>
    </row>
    <row r="1069" spans="1:6" x14ac:dyDescent="0.3">
      <c r="A1069" t="s">
        <v>17</v>
      </c>
      <c r="B1069" t="s">
        <v>38</v>
      </c>
      <c r="C1069" t="s">
        <v>9</v>
      </c>
      <c r="D1069" t="s">
        <v>78</v>
      </c>
      <c r="E1069" s="17">
        <v>14.5</v>
      </c>
      <c r="F1069" s="1">
        <v>45778</v>
      </c>
    </row>
    <row r="1070" spans="1:6" x14ac:dyDescent="0.3">
      <c r="A1070" t="s">
        <v>21</v>
      </c>
      <c r="B1070" t="s">
        <v>38</v>
      </c>
      <c r="C1070" t="s">
        <v>4</v>
      </c>
      <c r="D1070" t="s">
        <v>78</v>
      </c>
      <c r="E1070" s="17">
        <v>14</v>
      </c>
      <c r="F1070" s="1">
        <v>45778</v>
      </c>
    </row>
    <row r="1071" spans="1:6" x14ac:dyDescent="0.3">
      <c r="A1071" t="s">
        <v>14</v>
      </c>
      <c r="B1071" t="s">
        <v>38</v>
      </c>
      <c r="C1071" t="s">
        <v>9</v>
      </c>
      <c r="D1071" t="s">
        <v>78</v>
      </c>
      <c r="E1071" s="17">
        <v>7</v>
      </c>
      <c r="F1071" s="1">
        <v>45778</v>
      </c>
    </row>
    <row r="1072" spans="1:6" x14ac:dyDescent="0.3">
      <c r="A1072" t="s">
        <v>13</v>
      </c>
      <c r="B1072" t="s">
        <v>38</v>
      </c>
      <c r="C1072" t="s">
        <v>4</v>
      </c>
      <c r="D1072" t="s">
        <v>78</v>
      </c>
      <c r="E1072" s="17">
        <v>0.5</v>
      </c>
      <c r="F1072" s="1">
        <v>45778</v>
      </c>
    </row>
    <row r="1073" spans="1:6" x14ac:dyDescent="0.3">
      <c r="A1073" t="s">
        <v>13</v>
      </c>
      <c r="B1073" t="s">
        <v>38</v>
      </c>
      <c r="C1073" t="s">
        <v>9</v>
      </c>
      <c r="D1073" t="s">
        <v>78</v>
      </c>
      <c r="E1073" s="17">
        <v>100.8</v>
      </c>
      <c r="F1073" s="1">
        <v>45778</v>
      </c>
    </row>
    <row r="1074" spans="1:6" x14ac:dyDescent="0.3">
      <c r="A1074" t="s">
        <v>11</v>
      </c>
      <c r="B1074" t="s">
        <v>38</v>
      </c>
      <c r="C1074" t="s">
        <v>6</v>
      </c>
      <c r="D1074" t="s">
        <v>78</v>
      </c>
      <c r="E1074" s="17">
        <v>1424.6</v>
      </c>
      <c r="F1074" s="1">
        <v>45778</v>
      </c>
    </row>
    <row r="1075" spans="1:6" x14ac:dyDescent="0.3">
      <c r="A1075" t="s">
        <v>15</v>
      </c>
      <c r="B1075" t="s">
        <v>38</v>
      </c>
      <c r="C1075" t="s">
        <v>4</v>
      </c>
      <c r="D1075" t="s">
        <v>78</v>
      </c>
      <c r="E1075" s="17">
        <v>7</v>
      </c>
      <c r="F1075" s="1">
        <v>45778</v>
      </c>
    </row>
    <row r="1076" spans="1:6" x14ac:dyDescent="0.3">
      <c r="A1076" t="s">
        <v>16</v>
      </c>
      <c r="B1076" t="s">
        <v>38</v>
      </c>
      <c r="C1076" t="s">
        <v>6</v>
      </c>
      <c r="D1076" t="s">
        <v>78</v>
      </c>
      <c r="E1076" s="17">
        <v>63.8</v>
      </c>
      <c r="F1076" s="1">
        <v>45778</v>
      </c>
    </row>
    <row r="1077" spans="1:6" x14ac:dyDescent="0.3">
      <c r="A1077" t="s">
        <v>12</v>
      </c>
      <c r="B1077" t="s">
        <v>38</v>
      </c>
      <c r="C1077" t="s">
        <v>9</v>
      </c>
      <c r="D1077" t="s">
        <v>78</v>
      </c>
      <c r="E1077" s="17">
        <v>139.1</v>
      </c>
      <c r="F1077" s="1">
        <v>45778</v>
      </c>
    </row>
    <row r="1078" spans="1:6" x14ac:dyDescent="0.3">
      <c r="A1078" t="s">
        <v>10</v>
      </c>
      <c r="B1078" t="s">
        <v>38</v>
      </c>
      <c r="C1078" t="s">
        <v>6</v>
      </c>
      <c r="D1078" t="s">
        <v>78</v>
      </c>
      <c r="E1078" s="17">
        <v>108</v>
      </c>
      <c r="F1078" s="1">
        <v>45778</v>
      </c>
    </row>
    <row r="1079" spans="1:6" x14ac:dyDescent="0.3">
      <c r="A1079" t="s">
        <v>19</v>
      </c>
      <c r="B1079" t="s">
        <v>38</v>
      </c>
      <c r="C1079" t="s">
        <v>6</v>
      </c>
      <c r="D1079" t="s">
        <v>78</v>
      </c>
      <c r="E1079" s="17">
        <v>45</v>
      </c>
      <c r="F1079" s="1">
        <v>45778</v>
      </c>
    </row>
    <row r="1080" spans="1:6" x14ac:dyDescent="0.3">
      <c r="A1080" t="s">
        <v>14</v>
      </c>
      <c r="B1080" t="s">
        <v>38</v>
      </c>
      <c r="C1080" t="s">
        <v>4</v>
      </c>
      <c r="D1080" t="s">
        <v>78</v>
      </c>
      <c r="E1080" s="17">
        <v>1.5</v>
      </c>
      <c r="F1080" s="1">
        <v>45778</v>
      </c>
    </row>
    <row r="1081" spans="1:6" x14ac:dyDescent="0.3">
      <c r="A1081" t="s">
        <v>8</v>
      </c>
      <c r="B1081" t="s">
        <v>38</v>
      </c>
      <c r="C1081" t="s">
        <v>6</v>
      </c>
      <c r="D1081" t="s">
        <v>78</v>
      </c>
      <c r="E1081" s="17">
        <v>98.7</v>
      </c>
      <c r="F1081" s="1">
        <v>45778</v>
      </c>
    </row>
    <row r="1082" spans="1:6" x14ac:dyDescent="0.3">
      <c r="A1082" t="s">
        <v>20</v>
      </c>
      <c r="B1082" t="s">
        <v>38</v>
      </c>
      <c r="C1082" t="s">
        <v>4</v>
      </c>
      <c r="D1082" t="s">
        <v>78</v>
      </c>
      <c r="E1082" s="17">
        <v>9.6999999999999993</v>
      </c>
      <c r="F1082" s="1">
        <v>45778</v>
      </c>
    </row>
    <row r="1083" spans="1:6" x14ac:dyDescent="0.3">
      <c r="A1083" t="s">
        <v>15</v>
      </c>
      <c r="B1083" t="s">
        <v>38</v>
      </c>
      <c r="C1083" t="s">
        <v>6</v>
      </c>
      <c r="D1083" t="s">
        <v>78</v>
      </c>
      <c r="E1083" s="17">
        <v>76.7</v>
      </c>
      <c r="F1083" s="1">
        <v>45778</v>
      </c>
    </row>
    <row r="1084" spans="1:6" x14ac:dyDescent="0.3">
      <c r="A1084" t="s">
        <v>15</v>
      </c>
      <c r="B1084" t="s">
        <v>38</v>
      </c>
      <c r="C1084" t="s">
        <v>9</v>
      </c>
      <c r="D1084" t="s">
        <v>78</v>
      </c>
      <c r="E1084" s="17">
        <v>83.7</v>
      </c>
      <c r="F1084" s="1">
        <v>45778</v>
      </c>
    </row>
    <row r="1085" spans="1:6" x14ac:dyDescent="0.3">
      <c r="A1085" t="s">
        <v>14</v>
      </c>
      <c r="B1085" t="s">
        <v>38</v>
      </c>
      <c r="C1085" t="s">
        <v>6</v>
      </c>
      <c r="D1085" t="s">
        <v>78</v>
      </c>
      <c r="E1085" s="17">
        <v>5.5</v>
      </c>
      <c r="F1085" s="1">
        <v>45778</v>
      </c>
    </row>
    <row r="1086" spans="1:6" x14ac:dyDescent="0.3">
      <c r="A1086" t="s">
        <v>21</v>
      </c>
      <c r="B1086" t="s">
        <v>38</v>
      </c>
      <c r="C1086" t="s">
        <v>9</v>
      </c>
      <c r="D1086" t="s">
        <v>78</v>
      </c>
      <c r="E1086" s="17">
        <v>112</v>
      </c>
      <c r="F1086" s="1">
        <v>45778</v>
      </c>
    </row>
    <row r="1087" spans="1:6" x14ac:dyDescent="0.3">
      <c r="A1087" t="s">
        <v>23</v>
      </c>
      <c r="B1087" t="s">
        <v>38</v>
      </c>
      <c r="C1087" t="s">
        <v>4</v>
      </c>
      <c r="D1087" t="s">
        <v>78</v>
      </c>
      <c r="E1087" s="17">
        <v>24.5</v>
      </c>
      <c r="F1087" s="1">
        <v>45778</v>
      </c>
    </row>
    <row r="1088" spans="1:6" x14ac:dyDescent="0.3">
      <c r="A1088" t="s">
        <v>16</v>
      </c>
      <c r="B1088" t="s">
        <v>38</v>
      </c>
      <c r="C1088" t="s">
        <v>4</v>
      </c>
      <c r="D1088" t="s">
        <v>78</v>
      </c>
      <c r="E1088" s="17">
        <v>32.799999999999997</v>
      </c>
      <c r="F1088" s="1">
        <v>45778</v>
      </c>
    </row>
    <row r="1089" spans="1:6" x14ac:dyDescent="0.3">
      <c r="A1089" t="s">
        <v>10</v>
      </c>
      <c r="B1089" t="s">
        <v>38</v>
      </c>
      <c r="C1089" t="s">
        <v>4</v>
      </c>
      <c r="D1089" t="s">
        <v>78</v>
      </c>
      <c r="E1089" s="17">
        <v>117.7</v>
      </c>
      <c r="F1089" s="1">
        <v>45778</v>
      </c>
    </row>
    <row r="1090" spans="1:6" x14ac:dyDescent="0.3">
      <c r="A1090" t="s">
        <v>22</v>
      </c>
      <c r="B1090" t="s">
        <v>38</v>
      </c>
      <c r="C1090" t="s">
        <v>9</v>
      </c>
      <c r="D1090" t="s">
        <v>78</v>
      </c>
      <c r="E1090" s="17">
        <v>97.4</v>
      </c>
      <c r="F1090" s="1">
        <v>45778</v>
      </c>
    </row>
    <row r="1091" spans="1:6" x14ac:dyDescent="0.3">
      <c r="A1091" t="s">
        <v>5</v>
      </c>
      <c r="B1091" t="s">
        <v>38</v>
      </c>
      <c r="C1091" t="s">
        <v>4</v>
      </c>
      <c r="D1091" t="s">
        <v>78</v>
      </c>
      <c r="E1091" s="17">
        <v>26.8</v>
      </c>
      <c r="F1091" s="1">
        <v>45778</v>
      </c>
    </row>
    <row r="1092" spans="1:6" x14ac:dyDescent="0.3">
      <c r="A1092" t="s">
        <v>5</v>
      </c>
      <c r="B1092" t="s">
        <v>38</v>
      </c>
      <c r="C1092" t="s">
        <v>6</v>
      </c>
      <c r="D1092" t="s">
        <v>78</v>
      </c>
      <c r="E1092" s="17">
        <v>46.7</v>
      </c>
      <c r="F1092" s="1">
        <v>45778</v>
      </c>
    </row>
    <row r="1093" spans="1:6" x14ac:dyDescent="0.3">
      <c r="A1093" t="s">
        <v>19</v>
      </c>
      <c r="B1093" t="s">
        <v>38</v>
      </c>
      <c r="C1093" t="s">
        <v>9</v>
      </c>
      <c r="D1093" t="s">
        <v>78</v>
      </c>
      <c r="E1093" s="17">
        <v>75.599999999999994</v>
      </c>
      <c r="F1093" s="1">
        <v>45778</v>
      </c>
    </row>
    <row r="1094" spans="1:6" x14ac:dyDescent="0.3">
      <c r="A1094" t="s">
        <v>13</v>
      </c>
      <c r="B1094" t="s">
        <v>38</v>
      </c>
      <c r="C1094" t="s">
        <v>6</v>
      </c>
      <c r="D1094" t="s">
        <v>78</v>
      </c>
      <c r="E1094" s="17">
        <v>100.3</v>
      </c>
      <c r="F1094" s="1">
        <v>45778</v>
      </c>
    </row>
    <row r="1095" spans="1:6" x14ac:dyDescent="0.3">
      <c r="A1095" t="s">
        <v>20</v>
      </c>
      <c r="B1095" t="s">
        <v>38</v>
      </c>
      <c r="C1095" t="s">
        <v>9</v>
      </c>
      <c r="D1095" t="s">
        <v>78</v>
      </c>
      <c r="E1095" s="17">
        <v>96.4</v>
      </c>
      <c r="F1095" s="1">
        <v>45778</v>
      </c>
    </row>
    <row r="1096" spans="1:6" x14ac:dyDescent="0.3">
      <c r="A1096" t="s">
        <v>7</v>
      </c>
      <c r="B1096" t="s">
        <v>38</v>
      </c>
      <c r="C1096" t="s">
        <v>9</v>
      </c>
      <c r="D1096" t="s">
        <v>78</v>
      </c>
      <c r="E1096" s="17">
        <v>114.8</v>
      </c>
      <c r="F1096" s="1">
        <v>45778</v>
      </c>
    </row>
    <row r="1097" spans="1:6" x14ac:dyDescent="0.3">
      <c r="A1097" t="s">
        <v>11</v>
      </c>
      <c r="B1097" t="s">
        <v>38</v>
      </c>
      <c r="C1097" t="s">
        <v>4</v>
      </c>
      <c r="D1097" t="s">
        <v>78</v>
      </c>
      <c r="E1097" s="17">
        <v>1322.7</v>
      </c>
      <c r="F1097" s="1">
        <v>45778</v>
      </c>
    </row>
    <row r="1098" spans="1:6" x14ac:dyDescent="0.3">
      <c r="A1098" t="s">
        <v>3</v>
      </c>
      <c r="B1098" t="s">
        <v>38</v>
      </c>
      <c r="C1098" t="s">
        <v>6</v>
      </c>
      <c r="D1098" t="s">
        <v>78</v>
      </c>
      <c r="E1098" s="17">
        <v>0</v>
      </c>
      <c r="F1098" s="1">
        <v>45778</v>
      </c>
    </row>
    <row r="1099" spans="1:6" x14ac:dyDescent="0.3">
      <c r="A1099" t="s">
        <v>20</v>
      </c>
      <c r="B1099" t="s">
        <v>38</v>
      </c>
      <c r="C1099" t="s">
        <v>6</v>
      </c>
      <c r="D1099" t="s">
        <v>78</v>
      </c>
      <c r="E1099" s="17">
        <v>86.7</v>
      </c>
      <c r="F1099" s="1">
        <v>45778</v>
      </c>
    </row>
    <row r="1100" spans="1:6" x14ac:dyDescent="0.3">
      <c r="A1100" t="s">
        <v>17</v>
      </c>
      <c r="B1100" t="s">
        <v>38</v>
      </c>
      <c r="C1100" t="s">
        <v>4</v>
      </c>
      <c r="D1100" t="s">
        <v>78</v>
      </c>
      <c r="E1100" s="17">
        <v>0</v>
      </c>
      <c r="F1100" s="1">
        <v>45778</v>
      </c>
    </row>
    <row r="1101" spans="1:6" x14ac:dyDescent="0.3">
      <c r="A1101" t="s">
        <v>28</v>
      </c>
      <c r="B1101" t="s">
        <v>38</v>
      </c>
      <c r="C1101" t="s">
        <v>9</v>
      </c>
      <c r="D1101" t="s">
        <v>78</v>
      </c>
      <c r="E1101" s="17">
        <v>177.1</v>
      </c>
      <c r="F1101" s="1">
        <v>45778</v>
      </c>
    </row>
    <row r="1102" spans="1:6" x14ac:dyDescent="0.3">
      <c r="A1102" t="s">
        <v>12</v>
      </c>
      <c r="B1102" t="s">
        <v>38</v>
      </c>
      <c r="C1102" t="s">
        <v>4</v>
      </c>
      <c r="D1102" t="s">
        <v>78</v>
      </c>
      <c r="E1102" s="17">
        <v>116.6</v>
      </c>
      <c r="F1102" s="1">
        <v>45778</v>
      </c>
    </row>
    <row r="1103" spans="1:6" x14ac:dyDescent="0.3">
      <c r="A1103" t="s">
        <v>17</v>
      </c>
      <c r="B1103" t="s">
        <v>38</v>
      </c>
      <c r="C1103" t="s">
        <v>6</v>
      </c>
      <c r="D1103" t="s">
        <v>78</v>
      </c>
      <c r="E1103" s="17">
        <v>0</v>
      </c>
      <c r="F1103" s="1">
        <v>45778</v>
      </c>
    </row>
    <row r="1104" spans="1:6" x14ac:dyDescent="0.3">
      <c r="A1104" t="s">
        <v>11</v>
      </c>
      <c r="B1104" t="s">
        <v>38</v>
      </c>
      <c r="C1104" t="s">
        <v>9</v>
      </c>
      <c r="D1104" t="s">
        <v>78</v>
      </c>
      <c r="E1104" s="17">
        <v>2747.3</v>
      </c>
      <c r="F1104" s="1">
        <v>45778</v>
      </c>
    </row>
    <row r="1105" spans="1:6" x14ac:dyDescent="0.3">
      <c r="A1105" t="s">
        <v>7</v>
      </c>
      <c r="B1105" t="s">
        <v>38</v>
      </c>
      <c r="C1105" t="s">
        <v>6</v>
      </c>
      <c r="D1105" t="s">
        <v>78</v>
      </c>
      <c r="E1105" s="17">
        <v>62.7</v>
      </c>
      <c r="F1105" s="1">
        <v>45778</v>
      </c>
    </row>
    <row r="1106" spans="1:6" x14ac:dyDescent="0.3">
      <c r="A1106" t="s">
        <v>3</v>
      </c>
      <c r="B1106" t="s">
        <v>38</v>
      </c>
      <c r="C1106" t="s">
        <v>4</v>
      </c>
      <c r="D1106" t="s">
        <v>78</v>
      </c>
      <c r="E1106" s="17">
        <v>0</v>
      </c>
      <c r="F1106" s="1">
        <v>45778</v>
      </c>
    </row>
    <row r="1107" spans="1:6" x14ac:dyDescent="0.3">
      <c r="A1107" t="s">
        <v>16</v>
      </c>
      <c r="B1107" t="s">
        <v>38</v>
      </c>
      <c r="C1107" t="s">
        <v>9</v>
      </c>
      <c r="D1107" t="s">
        <v>78</v>
      </c>
      <c r="E1107" s="17">
        <v>96.6</v>
      </c>
      <c r="F1107" s="1">
        <v>45778</v>
      </c>
    </row>
    <row r="1108" spans="1:6" x14ac:dyDescent="0.3">
      <c r="A1108" t="s">
        <v>8</v>
      </c>
      <c r="B1108" t="s">
        <v>38</v>
      </c>
      <c r="C1108" t="s">
        <v>9</v>
      </c>
      <c r="D1108" t="s">
        <v>78</v>
      </c>
      <c r="E1108" s="17">
        <v>160.5</v>
      </c>
      <c r="F1108" s="1">
        <v>45778</v>
      </c>
    </row>
    <row r="1109" spans="1:6" x14ac:dyDescent="0.3">
      <c r="A1109" t="s">
        <v>18</v>
      </c>
      <c r="B1109" t="s">
        <v>38</v>
      </c>
      <c r="C1109" t="s">
        <v>6</v>
      </c>
      <c r="D1109" t="s">
        <v>78</v>
      </c>
      <c r="E1109" s="17">
        <v>71.400000000000006</v>
      </c>
      <c r="F1109" s="1">
        <v>45778</v>
      </c>
    </row>
    <row r="1110" spans="1:6" x14ac:dyDescent="0.3">
      <c r="A1110" t="s">
        <v>23</v>
      </c>
      <c r="B1110" t="s">
        <v>38</v>
      </c>
      <c r="C1110" t="s">
        <v>6</v>
      </c>
      <c r="D1110" t="s">
        <v>78</v>
      </c>
      <c r="E1110" s="17">
        <v>78.8</v>
      </c>
      <c r="F1110" s="1">
        <v>45778</v>
      </c>
    </row>
    <row r="1111" spans="1:6" x14ac:dyDescent="0.3">
      <c r="A1111" t="s">
        <v>7</v>
      </c>
      <c r="B1111" t="s">
        <v>38</v>
      </c>
      <c r="C1111" t="s">
        <v>4</v>
      </c>
      <c r="D1111" t="s">
        <v>78</v>
      </c>
      <c r="E1111" s="17">
        <v>52.1</v>
      </c>
      <c r="F1111" s="1">
        <v>45778</v>
      </c>
    </row>
    <row r="1112" spans="1:6" x14ac:dyDescent="0.3">
      <c r="A1112" t="s">
        <v>18</v>
      </c>
      <c r="B1112" t="s">
        <v>38</v>
      </c>
      <c r="C1112" t="s">
        <v>9</v>
      </c>
      <c r="D1112" t="s">
        <v>78</v>
      </c>
      <c r="E1112" s="17">
        <v>271.7</v>
      </c>
      <c r="F1112" s="1">
        <v>45778</v>
      </c>
    </row>
    <row r="1113" spans="1:6" x14ac:dyDescent="0.3">
      <c r="A1113" t="s">
        <v>5</v>
      </c>
      <c r="B1113" t="s">
        <v>38</v>
      </c>
      <c r="C1113" t="s">
        <v>9</v>
      </c>
      <c r="D1113" t="s">
        <v>78</v>
      </c>
      <c r="E1113" s="17">
        <v>73.5</v>
      </c>
      <c r="F1113" s="1">
        <v>45778</v>
      </c>
    </row>
    <row r="1114" spans="1:6" x14ac:dyDescent="0.3">
      <c r="A1114" t="s">
        <v>12</v>
      </c>
      <c r="B1114" t="s">
        <v>38</v>
      </c>
      <c r="C1114" t="s">
        <v>6</v>
      </c>
      <c r="D1114" t="s">
        <v>78</v>
      </c>
      <c r="E1114" s="17">
        <v>22.5</v>
      </c>
      <c r="F1114" s="1">
        <v>45778</v>
      </c>
    </row>
    <row r="1115" spans="1:6" x14ac:dyDescent="0.3">
      <c r="A1115" t="s">
        <v>22</v>
      </c>
      <c r="B1115" t="s">
        <v>38</v>
      </c>
      <c r="C1115" t="s">
        <v>6</v>
      </c>
      <c r="D1115" t="s">
        <v>78</v>
      </c>
      <c r="E1115" s="17">
        <v>34.1</v>
      </c>
      <c r="F1115" s="1">
        <v>45778</v>
      </c>
    </row>
    <row r="1116" spans="1:6" x14ac:dyDescent="0.3">
      <c r="A1116" t="s">
        <v>18</v>
      </c>
      <c r="B1116" t="s">
        <v>38</v>
      </c>
      <c r="C1116" t="s">
        <v>4</v>
      </c>
      <c r="D1116" t="s">
        <v>78</v>
      </c>
      <c r="E1116" s="17">
        <v>200.3</v>
      </c>
      <c r="F1116" s="1">
        <v>45778</v>
      </c>
    </row>
    <row r="1117" spans="1:6" x14ac:dyDescent="0.3">
      <c r="A1117" t="s">
        <v>21</v>
      </c>
      <c r="B1117" t="s">
        <v>38</v>
      </c>
      <c r="C1117" t="s">
        <v>6</v>
      </c>
      <c r="D1117" t="s">
        <v>78</v>
      </c>
      <c r="E1117" s="17">
        <v>98</v>
      </c>
      <c r="F1117" s="1">
        <v>45778</v>
      </c>
    </row>
    <row r="1118" spans="1:6" x14ac:dyDescent="0.3">
      <c r="A1118" t="s">
        <v>10</v>
      </c>
      <c r="B1118" t="s">
        <v>38</v>
      </c>
      <c r="C1118" t="s">
        <v>9</v>
      </c>
      <c r="D1118" t="s">
        <v>78</v>
      </c>
      <c r="E1118" s="17">
        <v>225.7</v>
      </c>
      <c r="F1118" s="1">
        <v>45778</v>
      </c>
    </row>
    <row r="1119" spans="1:6" x14ac:dyDescent="0.3">
      <c r="A1119" t="s">
        <v>30</v>
      </c>
      <c r="B1119" t="s">
        <v>38</v>
      </c>
      <c r="C1119" t="s">
        <v>6</v>
      </c>
      <c r="D1119" t="s">
        <v>78</v>
      </c>
      <c r="E1119" s="17">
        <v>49.6</v>
      </c>
      <c r="F1119" s="1">
        <v>45778</v>
      </c>
    </row>
    <row r="1120" spans="1:6" x14ac:dyDescent="0.3">
      <c r="A1120" t="s">
        <v>28</v>
      </c>
      <c r="B1120" t="s">
        <v>38</v>
      </c>
      <c r="C1120" t="s">
        <v>4</v>
      </c>
      <c r="D1120" t="s">
        <v>78</v>
      </c>
      <c r="E1120" s="17">
        <v>85.6</v>
      </c>
      <c r="F1120" s="1">
        <v>45778</v>
      </c>
    </row>
    <row r="1121" spans="1:6" x14ac:dyDescent="0.3">
      <c r="A1121" t="s">
        <v>24</v>
      </c>
      <c r="B1121" t="s">
        <v>38</v>
      </c>
      <c r="C1121" t="s">
        <v>4</v>
      </c>
      <c r="D1121" t="s">
        <v>78</v>
      </c>
      <c r="E1121" s="17">
        <v>0</v>
      </c>
      <c r="F1121" s="1">
        <v>45778</v>
      </c>
    </row>
    <row r="1122" spans="1:6" x14ac:dyDescent="0.3">
      <c r="A1122" t="s">
        <v>25</v>
      </c>
      <c r="B1122" t="s">
        <v>38</v>
      </c>
      <c r="C1122" t="s">
        <v>4</v>
      </c>
      <c r="D1122" t="s">
        <v>78</v>
      </c>
      <c r="E1122" s="17">
        <v>3.8</v>
      </c>
      <c r="F1122" s="1">
        <v>45778</v>
      </c>
    </row>
    <row r="1123" spans="1:6" x14ac:dyDescent="0.3">
      <c r="A1123" t="s">
        <v>29</v>
      </c>
      <c r="B1123" t="s">
        <v>38</v>
      </c>
      <c r="C1123" t="s">
        <v>9</v>
      </c>
      <c r="D1123" t="s">
        <v>78</v>
      </c>
      <c r="E1123" s="17">
        <v>96.3</v>
      </c>
      <c r="F1123" s="1">
        <v>45778</v>
      </c>
    </row>
    <row r="1124" spans="1:6" x14ac:dyDescent="0.3">
      <c r="A1124" t="s">
        <v>24</v>
      </c>
      <c r="B1124" t="s">
        <v>38</v>
      </c>
      <c r="C1124" t="s">
        <v>6</v>
      </c>
      <c r="D1124" t="s">
        <v>78</v>
      </c>
      <c r="E1124" s="17">
        <v>0</v>
      </c>
      <c r="F1124" s="1">
        <v>45778</v>
      </c>
    </row>
    <row r="1125" spans="1:6" x14ac:dyDescent="0.3">
      <c r="A1125" t="s">
        <v>26</v>
      </c>
      <c r="B1125" t="s">
        <v>38</v>
      </c>
      <c r="C1125" t="s">
        <v>9</v>
      </c>
      <c r="D1125" t="s">
        <v>78</v>
      </c>
      <c r="E1125" s="17">
        <v>188.8</v>
      </c>
      <c r="F1125" s="1">
        <v>45778</v>
      </c>
    </row>
    <row r="1126" spans="1:6" x14ac:dyDescent="0.3">
      <c r="A1126" t="s">
        <v>27</v>
      </c>
      <c r="B1126" t="s">
        <v>38</v>
      </c>
      <c r="C1126" t="s">
        <v>6</v>
      </c>
      <c r="D1126" t="s">
        <v>78</v>
      </c>
      <c r="E1126" s="17">
        <v>137.1</v>
      </c>
      <c r="F1126" s="1">
        <v>45778</v>
      </c>
    </row>
    <row r="1127" spans="1:6" x14ac:dyDescent="0.3">
      <c r="A1127" t="s">
        <v>28</v>
      </c>
      <c r="B1127" t="s">
        <v>38</v>
      </c>
      <c r="C1127" t="s">
        <v>6</v>
      </c>
      <c r="D1127" t="s">
        <v>78</v>
      </c>
      <c r="E1127" s="17">
        <v>91.5</v>
      </c>
      <c r="F1127" s="1">
        <v>45778</v>
      </c>
    </row>
    <row r="1128" spans="1:6" x14ac:dyDescent="0.3">
      <c r="A1128" t="s">
        <v>24</v>
      </c>
      <c r="B1128" t="s">
        <v>38</v>
      </c>
      <c r="C1128" t="s">
        <v>9</v>
      </c>
      <c r="D1128" t="s">
        <v>78</v>
      </c>
      <c r="E1128" s="17">
        <v>22</v>
      </c>
      <c r="F1128" s="1">
        <v>45778</v>
      </c>
    </row>
    <row r="1129" spans="1:6" x14ac:dyDescent="0.3">
      <c r="A1129" t="s">
        <v>27</v>
      </c>
      <c r="B1129" t="s">
        <v>38</v>
      </c>
      <c r="C1129" t="s">
        <v>9</v>
      </c>
      <c r="D1129" t="s">
        <v>78</v>
      </c>
      <c r="E1129" s="17">
        <v>263.8</v>
      </c>
      <c r="F1129" s="1">
        <v>45778</v>
      </c>
    </row>
    <row r="1130" spans="1:6" x14ac:dyDescent="0.3">
      <c r="A1130" t="s">
        <v>30</v>
      </c>
      <c r="B1130" t="s">
        <v>38</v>
      </c>
      <c r="C1130" t="s">
        <v>9</v>
      </c>
      <c r="D1130" t="s">
        <v>78</v>
      </c>
      <c r="E1130" s="17">
        <v>166.6</v>
      </c>
      <c r="F1130" s="1">
        <v>45778</v>
      </c>
    </row>
    <row r="1131" spans="1:6" x14ac:dyDescent="0.3">
      <c r="A1131" t="s">
        <v>25</v>
      </c>
      <c r="B1131" t="s">
        <v>38</v>
      </c>
      <c r="C1131" t="s">
        <v>6</v>
      </c>
      <c r="D1131" t="s">
        <v>78</v>
      </c>
      <c r="E1131" s="17">
        <v>49.8</v>
      </c>
      <c r="F1131" s="1">
        <v>45778</v>
      </c>
    </row>
    <row r="1132" spans="1:6" x14ac:dyDescent="0.3">
      <c r="A1132" t="s">
        <v>29</v>
      </c>
      <c r="B1132" t="s">
        <v>38</v>
      </c>
      <c r="C1132" t="s">
        <v>6</v>
      </c>
      <c r="D1132" t="s">
        <v>78</v>
      </c>
      <c r="E1132" s="17">
        <v>28.1</v>
      </c>
      <c r="F1132" s="1">
        <v>45778</v>
      </c>
    </row>
    <row r="1133" spans="1:6" x14ac:dyDescent="0.3">
      <c r="A1133" t="s">
        <v>30</v>
      </c>
      <c r="B1133" t="s">
        <v>38</v>
      </c>
      <c r="C1133" t="s">
        <v>4</v>
      </c>
      <c r="D1133" t="s">
        <v>78</v>
      </c>
      <c r="E1133" s="17">
        <v>117</v>
      </c>
      <c r="F1133" s="1">
        <v>45778</v>
      </c>
    </row>
    <row r="1134" spans="1:6" x14ac:dyDescent="0.3">
      <c r="A1134" t="s">
        <v>26</v>
      </c>
      <c r="B1134" t="s">
        <v>38</v>
      </c>
      <c r="C1134" t="s">
        <v>6</v>
      </c>
      <c r="D1134" t="s">
        <v>78</v>
      </c>
      <c r="E1134" s="17">
        <v>27.7</v>
      </c>
      <c r="F1134" s="1">
        <v>45778</v>
      </c>
    </row>
    <row r="1135" spans="1:6" x14ac:dyDescent="0.3">
      <c r="A1135" t="s">
        <v>27</v>
      </c>
      <c r="B1135" t="s">
        <v>38</v>
      </c>
      <c r="C1135" t="s">
        <v>4</v>
      </c>
      <c r="D1135" t="s">
        <v>78</v>
      </c>
      <c r="E1135" s="17">
        <v>126.7</v>
      </c>
      <c r="F1135" s="1">
        <v>45778</v>
      </c>
    </row>
    <row r="1136" spans="1:6" x14ac:dyDescent="0.3">
      <c r="A1136" t="s">
        <v>26</v>
      </c>
      <c r="B1136" t="s">
        <v>38</v>
      </c>
      <c r="C1136" t="s">
        <v>4</v>
      </c>
      <c r="D1136" t="s">
        <v>78</v>
      </c>
      <c r="E1136" s="17">
        <v>161.1</v>
      </c>
      <c r="F1136" s="1">
        <v>45778</v>
      </c>
    </row>
    <row r="1137" spans="1:6" x14ac:dyDescent="0.3">
      <c r="A1137" t="s">
        <v>29</v>
      </c>
      <c r="B1137" t="s">
        <v>38</v>
      </c>
      <c r="C1137" t="s">
        <v>4</v>
      </c>
      <c r="D1137" t="s">
        <v>78</v>
      </c>
      <c r="E1137" s="17">
        <v>68.2</v>
      </c>
      <c r="F1137" s="1">
        <v>45778</v>
      </c>
    </row>
    <row r="1138" spans="1:6" x14ac:dyDescent="0.3">
      <c r="A1138" t="s">
        <v>25</v>
      </c>
      <c r="B1138" t="s">
        <v>38</v>
      </c>
      <c r="C1138" t="s">
        <v>9</v>
      </c>
      <c r="D1138" t="s">
        <v>78</v>
      </c>
      <c r="E1138" s="17">
        <v>53.6</v>
      </c>
      <c r="F1138" s="1">
        <v>45778</v>
      </c>
    </row>
    <row r="1139" spans="1:6" x14ac:dyDescent="0.3">
      <c r="A1139" t="s">
        <v>15</v>
      </c>
      <c r="B1139" t="s">
        <v>38</v>
      </c>
      <c r="C1139" t="s">
        <v>4</v>
      </c>
      <c r="D1139" t="s">
        <v>80</v>
      </c>
      <c r="E1139">
        <v>9.8000000000000007</v>
      </c>
      <c r="F1139" s="1">
        <v>46174</v>
      </c>
    </row>
    <row r="1140" spans="1:6" x14ac:dyDescent="0.3">
      <c r="A1140" t="s">
        <v>15</v>
      </c>
      <c r="B1140" t="s">
        <v>38</v>
      </c>
      <c r="C1140" t="s">
        <v>6</v>
      </c>
      <c r="D1140" t="s">
        <v>80</v>
      </c>
      <c r="E1140">
        <v>78.400000000000006</v>
      </c>
      <c r="F1140" s="1">
        <v>46174</v>
      </c>
    </row>
    <row r="1141" spans="1:6" x14ac:dyDescent="0.3">
      <c r="A1141" t="s">
        <v>15</v>
      </c>
      <c r="B1141" t="s">
        <v>38</v>
      </c>
      <c r="C1141" t="s">
        <v>9</v>
      </c>
      <c r="D1141" t="s">
        <v>80</v>
      </c>
      <c r="E1141">
        <v>88.2</v>
      </c>
      <c r="F1141" s="1">
        <v>46174</v>
      </c>
    </row>
    <row r="1142" spans="1:6" x14ac:dyDescent="0.3">
      <c r="A1142" t="s">
        <v>7</v>
      </c>
      <c r="B1142" t="s">
        <v>38</v>
      </c>
      <c r="C1142" t="s">
        <v>9</v>
      </c>
      <c r="D1142" t="s">
        <v>80</v>
      </c>
      <c r="E1142">
        <v>121.2</v>
      </c>
      <c r="F1142" s="1">
        <v>46174</v>
      </c>
    </row>
    <row r="1143" spans="1:6" x14ac:dyDescent="0.3">
      <c r="A1143" t="s">
        <v>7</v>
      </c>
      <c r="B1143" t="s">
        <v>38</v>
      </c>
      <c r="C1143" t="s">
        <v>6</v>
      </c>
      <c r="D1143" t="s">
        <v>80</v>
      </c>
      <c r="E1143">
        <v>57.6</v>
      </c>
      <c r="F1143" s="1">
        <v>46174</v>
      </c>
    </row>
    <row r="1144" spans="1:6" x14ac:dyDescent="0.3">
      <c r="A1144" t="s">
        <v>7</v>
      </c>
      <c r="B1144" t="s">
        <v>38</v>
      </c>
      <c r="C1144" t="s">
        <v>4</v>
      </c>
      <c r="D1144" t="s">
        <v>80</v>
      </c>
      <c r="E1144">
        <v>63.6</v>
      </c>
      <c r="F1144" s="1">
        <v>46174</v>
      </c>
    </row>
    <row r="1145" spans="1:6" x14ac:dyDescent="0.3">
      <c r="A1145" t="s">
        <v>10</v>
      </c>
      <c r="B1145" t="s">
        <v>38</v>
      </c>
      <c r="C1145" t="s">
        <v>6</v>
      </c>
      <c r="D1145" t="s">
        <v>80</v>
      </c>
      <c r="E1145">
        <v>119.4</v>
      </c>
      <c r="F1145" s="1">
        <v>46174</v>
      </c>
    </row>
    <row r="1146" spans="1:6" x14ac:dyDescent="0.3">
      <c r="A1146" t="s">
        <v>10</v>
      </c>
      <c r="B1146" t="s">
        <v>38</v>
      </c>
      <c r="C1146" t="s">
        <v>4</v>
      </c>
      <c r="D1146" t="s">
        <v>80</v>
      </c>
      <c r="E1146">
        <v>150.4</v>
      </c>
      <c r="F1146" s="1">
        <v>46174</v>
      </c>
    </row>
    <row r="1147" spans="1:6" x14ac:dyDescent="0.3">
      <c r="A1147" t="s">
        <v>10</v>
      </c>
      <c r="B1147" t="s">
        <v>38</v>
      </c>
      <c r="C1147" t="s">
        <v>9</v>
      </c>
      <c r="D1147" t="s">
        <v>80</v>
      </c>
      <c r="E1147">
        <v>269.8</v>
      </c>
      <c r="F1147" s="1">
        <v>46174</v>
      </c>
    </row>
    <row r="1148" spans="1:6" x14ac:dyDescent="0.3">
      <c r="A1148" t="s">
        <v>5</v>
      </c>
      <c r="B1148" t="s">
        <v>38</v>
      </c>
      <c r="C1148" t="s">
        <v>4</v>
      </c>
      <c r="D1148" t="s">
        <v>80</v>
      </c>
      <c r="E1148">
        <v>28</v>
      </c>
      <c r="F1148" s="1">
        <v>46174</v>
      </c>
    </row>
    <row r="1149" spans="1:6" x14ac:dyDescent="0.3">
      <c r="A1149" t="s">
        <v>5</v>
      </c>
      <c r="B1149" t="s">
        <v>38</v>
      </c>
      <c r="C1149" t="s">
        <v>6</v>
      </c>
      <c r="D1149" t="s">
        <v>80</v>
      </c>
      <c r="E1149">
        <v>52</v>
      </c>
      <c r="F1149" s="1">
        <v>46174</v>
      </c>
    </row>
    <row r="1150" spans="1:6" x14ac:dyDescent="0.3">
      <c r="A1150" t="s">
        <v>5</v>
      </c>
      <c r="B1150" t="s">
        <v>38</v>
      </c>
      <c r="C1150" t="s">
        <v>9</v>
      </c>
      <c r="D1150" t="s">
        <v>80</v>
      </c>
      <c r="E1150">
        <v>80</v>
      </c>
      <c r="F1150" s="1">
        <v>46174</v>
      </c>
    </row>
    <row r="1151" spans="1:6" x14ac:dyDescent="0.3">
      <c r="A1151" t="s">
        <v>3</v>
      </c>
      <c r="B1151" t="s">
        <v>38</v>
      </c>
      <c r="C1151" t="s">
        <v>9</v>
      </c>
      <c r="D1151" t="s">
        <v>80</v>
      </c>
      <c r="E1151">
        <v>2.9</v>
      </c>
      <c r="F1151" s="1">
        <v>46174</v>
      </c>
    </row>
    <row r="1152" spans="1:6" x14ac:dyDescent="0.3">
      <c r="A1152" t="s">
        <v>3</v>
      </c>
      <c r="B1152" t="s">
        <v>38</v>
      </c>
      <c r="C1152" t="s">
        <v>6</v>
      </c>
      <c r="D1152" t="s">
        <v>80</v>
      </c>
      <c r="E1152">
        <v>0</v>
      </c>
      <c r="F1152" s="1">
        <v>46174</v>
      </c>
    </row>
    <row r="1153" spans="1:6" x14ac:dyDescent="0.3">
      <c r="A1153" t="s">
        <v>3</v>
      </c>
      <c r="B1153" t="s">
        <v>38</v>
      </c>
      <c r="C1153" t="s">
        <v>4</v>
      </c>
      <c r="D1153" t="s">
        <v>80</v>
      </c>
      <c r="E1153">
        <v>0</v>
      </c>
      <c r="F1153" s="1">
        <v>46174</v>
      </c>
    </row>
    <row r="1154" spans="1:6" x14ac:dyDescent="0.3">
      <c r="A1154" t="s">
        <v>8</v>
      </c>
      <c r="B1154" t="s">
        <v>38</v>
      </c>
      <c r="C1154" t="s">
        <v>4</v>
      </c>
      <c r="D1154" t="s">
        <v>80</v>
      </c>
      <c r="E1154">
        <v>83.5</v>
      </c>
      <c r="F1154" s="1">
        <v>46174</v>
      </c>
    </row>
    <row r="1155" spans="1:6" x14ac:dyDescent="0.3">
      <c r="A1155" t="s">
        <v>8</v>
      </c>
      <c r="B1155" t="s">
        <v>38</v>
      </c>
      <c r="C1155" t="s">
        <v>6</v>
      </c>
      <c r="D1155" t="s">
        <v>80</v>
      </c>
      <c r="E1155">
        <v>76.400000000000006</v>
      </c>
      <c r="F1155" s="1">
        <v>46174</v>
      </c>
    </row>
    <row r="1156" spans="1:6" x14ac:dyDescent="0.3">
      <c r="A1156" t="s">
        <v>8</v>
      </c>
      <c r="B1156" t="s">
        <v>38</v>
      </c>
      <c r="C1156" t="s">
        <v>9</v>
      </c>
      <c r="D1156" t="s">
        <v>80</v>
      </c>
      <c r="E1156">
        <v>159.9</v>
      </c>
      <c r="F1156" s="1">
        <v>46174</v>
      </c>
    </row>
    <row r="1157" spans="1:6" x14ac:dyDescent="0.3">
      <c r="A1157" t="s">
        <v>13</v>
      </c>
      <c r="B1157" t="s">
        <v>38</v>
      </c>
      <c r="C1157" t="s">
        <v>4</v>
      </c>
      <c r="D1157" t="s">
        <v>80</v>
      </c>
      <c r="E1157">
        <v>0.6</v>
      </c>
      <c r="F1157" s="1">
        <v>46174</v>
      </c>
    </row>
    <row r="1158" spans="1:6" x14ac:dyDescent="0.3">
      <c r="A1158" t="s">
        <v>13</v>
      </c>
      <c r="B1158" t="s">
        <v>38</v>
      </c>
      <c r="C1158" t="s">
        <v>9</v>
      </c>
      <c r="D1158" t="s">
        <v>80</v>
      </c>
      <c r="E1158">
        <v>41.6</v>
      </c>
      <c r="F1158" s="1">
        <v>46174</v>
      </c>
    </row>
    <row r="1159" spans="1:6" x14ac:dyDescent="0.3">
      <c r="A1159" t="s">
        <v>13</v>
      </c>
      <c r="B1159" t="s">
        <v>38</v>
      </c>
      <c r="C1159" t="s">
        <v>6</v>
      </c>
      <c r="D1159" t="s">
        <v>80</v>
      </c>
      <c r="E1159">
        <v>41</v>
      </c>
      <c r="F1159" s="1">
        <v>46174</v>
      </c>
    </row>
    <row r="1160" spans="1:6" x14ac:dyDescent="0.3">
      <c r="A1160" t="s">
        <v>14</v>
      </c>
      <c r="B1160" t="s">
        <v>38</v>
      </c>
      <c r="C1160" t="s">
        <v>9</v>
      </c>
      <c r="D1160" t="s">
        <v>80</v>
      </c>
      <c r="E1160">
        <v>5.7</v>
      </c>
      <c r="F1160" s="1">
        <v>46174</v>
      </c>
    </row>
    <row r="1161" spans="1:6" x14ac:dyDescent="0.3">
      <c r="A1161" t="s">
        <v>14</v>
      </c>
      <c r="B1161" t="s">
        <v>38</v>
      </c>
      <c r="C1161" t="s">
        <v>4</v>
      </c>
      <c r="D1161" t="s">
        <v>80</v>
      </c>
      <c r="E1161">
        <v>1.1000000000000001</v>
      </c>
      <c r="F1161" s="1">
        <v>46174</v>
      </c>
    </row>
    <row r="1162" spans="1:6" x14ac:dyDescent="0.3">
      <c r="A1162" t="s">
        <v>14</v>
      </c>
      <c r="B1162" t="s">
        <v>38</v>
      </c>
      <c r="C1162" t="s">
        <v>6</v>
      </c>
      <c r="D1162" t="s">
        <v>80</v>
      </c>
      <c r="E1162">
        <v>4.5999999999999996</v>
      </c>
      <c r="F1162" s="1">
        <v>46174</v>
      </c>
    </row>
    <row r="1163" spans="1:6" x14ac:dyDescent="0.3">
      <c r="A1163" t="s">
        <v>12</v>
      </c>
      <c r="B1163" t="s">
        <v>38</v>
      </c>
      <c r="C1163" t="s">
        <v>9</v>
      </c>
      <c r="D1163" t="s">
        <v>80</v>
      </c>
      <c r="E1163">
        <v>168.6</v>
      </c>
      <c r="F1163" s="1">
        <v>46174</v>
      </c>
    </row>
    <row r="1164" spans="1:6" x14ac:dyDescent="0.3">
      <c r="A1164" t="s">
        <v>12</v>
      </c>
      <c r="B1164" t="s">
        <v>38</v>
      </c>
      <c r="C1164" t="s">
        <v>4</v>
      </c>
      <c r="D1164" t="s">
        <v>80</v>
      </c>
      <c r="E1164">
        <v>142.69999999999999</v>
      </c>
      <c r="F1164" s="1">
        <v>46174</v>
      </c>
    </row>
    <row r="1165" spans="1:6" x14ac:dyDescent="0.3">
      <c r="A1165" t="s">
        <v>12</v>
      </c>
      <c r="B1165" t="s">
        <v>38</v>
      </c>
      <c r="C1165" t="s">
        <v>6</v>
      </c>
      <c r="D1165" t="s">
        <v>80</v>
      </c>
      <c r="E1165">
        <v>25.9</v>
      </c>
      <c r="F1165" s="1">
        <v>46174</v>
      </c>
    </row>
    <row r="1166" spans="1:6" x14ac:dyDescent="0.3">
      <c r="A1166" t="s">
        <v>16</v>
      </c>
      <c r="B1166" t="s">
        <v>38</v>
      </c>
      <c r="C1166" t="s">
        <v>6</v>
      </c>
      <c r="D1166" t="s">
        <v>80</v>
      </c>
      <c r="E1166">
        <v>71.099999999999994</v>
      </c>
      <c r="F1166" s="1">
        <v>46174</v>
      </c>
    </row>
    <row r="1167" spans="1:6" x14ac:dyDescent="0.3">
      <c r="A1167" t="s">
        <v>16</v>
      </c>
      <c r="B1167" t="s">
        <v>38</v>
      </c>
      <c r="C1167" t="s">
        <v>4</v>
      </c>
      <c r="D1167" t="s">
        <v>80</v>
      </c>
      <c r="E1167">
        <v>40</v>
      </c>
      <c r="F1167" s="1">
        <v>46174</v>
      </c>
    </row>
    <row r="1168" spans="1:6" x14ac:dyDescent="0.3">
      <c r="A1168" t="s">
        <v>16</v>
      </c>
      <c r="B1168" t="s">
        <v>38</v>
      </c>
      <c r="C1168" t="s">
        <v>9</v>
      </c>
      <c r="D1168" t="s">
        <v>80</v>
      </c>
      <c r="E1168">
        <v>111.1</v>
      </c>
      <c r="F1168" s="1">
        <v>46174</v>
      </c>
    </row>
    <row r="1169" spans="1:6" x14ac:dyDescent="0.3">
      <c r="A1169" t="s">
        <v>17</v>
      </c>
      <c r="B1169" t="s">
        <v>38</v>
      </c>
      <c r="C1169" t="s">
        <v>9</v>
      </c>
      <c r="D1169" t="s">
        <v>80</v>
      </c>
      <c r="E1169">
        <v>0</v>
      </c>
      <c r="F1169" s="1">
        <v>46174</v>
      </c>
    </row>
    <row r="1170" spans="1:6" x14ac:dyDescent="0.3">
      <c r="A1170" t="s">
        <v>17</v>
      </c>
      <c r="B1170" t="s">
        <v>38</v>
      </c>
      <c r="C1170" t="s">
        <v>4</v>
      </c>
      <c r="D1170" t="s">
        <v>80</v>
      </c>
      <c r="E1170">
        <v>0</v>
      </c>
      <c r="F1170" s="1">
        <v>46174</v>
      </c>
    </row>
    <row r="1171" spans="1:6" x14ac:dyDescent="0.3">
      <c r="A1171" t="s">
        <v>17</v>
      </c>
      <c r="B1171" t="s">
        <v>38</v>
      </c>
      <c r="C1171" t="s">
        <v>6</v>
      </c>
      <c r="D1171" t="s">
        <v>80</v>
      </c>
      <c r="E1171">
        <v>0</v>
      </c>
      <c r="F1171" s="1">
        <v>46174</v>
      </c>
    </row>
    <row r="1172" spans="1:6" x14ac:dyDescent="0.3">
      <c r="A1172" t="s">
        <v>21</v>
      </c>
      <c r="B1172" t="s">
        <v>38</v>
      </c>
      <c r="C1172" t="s">
        <v>4</v>
      </c>
      <c r="D1172" t="s">
        <v>80</v>
      </c>
      <c r="E1172">
        <v>19.3</v>
      </c>
      <c r="F1172" s="1">
        <v>46174</v>
      </c>
    </row>
    <row r="1173" spans="1:6" x14ac:dyDescent="0.3">
      <c r="A1173" t="s">
        <v>21</v>
      </c>
      <c r="B1173" t="s">
        <v>38</v>
      </c>
      <c r="C1173" t="s">
        <v>9</v>
      </c>
      <c r="D1173" t="s">
        <v>80</v>
      </c>
      <c r="E1173">
        <v>101.4</v>
      </c>
      <c r="F1173" s="1">
        <v>46174</v>
      </c>
    </row>
    <row r="1174" spans="1:6" x14ac:dyDescent="0.3">
      <c r="A1174" t="s">
        <v>21</v>
      </c>
      <c r="B1174" t="s">
        <v>38</v>
      </c>
      <c r="C1174" t="s">
        <v>6</v>
      </c>
      <c r="D1174" t="s">
        <v>80</v>
      </c>
      <c r="E1174">
        <v>82.1</v>
      </c>
      <c r="F1174" s="1">
        <v>46174</v>
      </c>
    </row>
    <row r="1175" spans="1:6" x14ac:dyDescent="0.3">
      <c r="A1175" t="s">
        <v>19</v>
      </c>
      <c r="B1175" t="s">
        <v>38</v>
      </c>
      <c r="C1175" t="s">
        <v>4</v>
      </c>
      <c r="D1175" t="s">
        <v>80</v>
      </c>
      <c r="E1175">
        <v>38.299999999999997</v>
      </c>
      <c r="F1175" s="1">
        <v>46174</v>
      </c>
    </row>
    <row r="1176" spans="1:6" x14ac:dyDescent="0.3">
      <c r="A1176" t="s">
        <v>19</v>
      </c>
      <c r="B1176" t="s">
        <v>38</v>
      </c>
      <c r="C1176" t="s">
        <v>6</v>
      </c>
      <c r="D1176" t="s">
        <v>80</v>
      </c>
      <c r="E1176">
        <v>52.1</v>
      </c>
      <c r="F1176" s="1">
        <v>46174</v>
      </c>
    </row>
    <row r="1177" spans="1:6" x14ac:dyDescent="0.3">
      <c r="A1177" t="s">
        <v>19</v>
      </c>
      <c r="B1177" t="s">
        <v>38</v>
      </c>
      <c r="C1177" t="s">
        <v>9</v>
      </c>
      <c r="D1177" t="s">
        <v>80</v>
      </c>
      <c r="E1177">
        <v>90.4</v>
      </c>
      <c r="F1177" s="1">
        <v>46174</v>
      </c>
    </row>
    <row r="1178" spans="1:6" x14ac:dyDescent="0.3">
      <c r="A1178" t="s">
        <v>20</v>
      </c>
      <c r="B1178" t="s">
        <v>38</v>
      </c>
      <c r="C1178" t="s">
        <v>4</v>
      </c>
      <c r="D1178" t="s">
        <v>80</v>
      </c>
      <c r="E1178">
        <v>10.4</v>
      </c>
      <c r="F1178" s="1">
        <v>46174</v>
      </c>
    </row>
    <row r="1179" spans="1:6" x14ac:dyDescent="0.3">
      <c r="A1179" t="s">
        <v>20</v>
      </c>
      <c r="B1179" t="s">
        <v>38</v>
      </c>
      <c r="C1179" t="s">
        <v>9</v>
      </c>
      <c r="D1179" t="s">
        <v>80</v>
      </c>
      <c r="E1179">
        <v>124.2</v>
      </c>
      <c r="F1179" s="1">
        <v>46174</v>
      </c>
    </row>
    <row r="1180" spans="1:6" x14ac:dyDescent="0.3">
      <c r="A1180" t="s">
        <v>20</v>
      </c>
      <c r="B1180" t="s">
        <v>38</v>
      </c>
      <c r="C1180" t="s">
        <v>6</v>
      </c>
      <c r="D1180" t="s">
        <v>80</v>
      </c>
      <c r="E1180">
        <v>113.8</v>
      </c>
      <c r="F1180" s="1">
        <v>46174</v>
      </c>
    </row>
    <row r="1181" spans="1:6" x14ac:dyDescent="0.3">
      <c r="A1181" t="s">
        <v>18</v>
      </c>
      <c r="B1181" t="s">
        <v>38</v>
      </c>
      <c r="C1181" t="s">
        <v>6</v>
      </c>
      <c r="D1181" t="s">
        <v>80</v>
      </c>
      <c r="E1181">
        <v>72.900000000000006</v>
      </c>
      <c r="F1181" s="1">
        <v>46174</v>
      </c>
    </row>
    <row r="1182" spans="1:6" x14ac:dyDescent="0.3">
      <c r="A1182" t="s">
        <v>18</v>
      </c>
      <c r="B1182" t="s">
        <v>38</v>
      </c>
      <c r="C1182" t="s">
        <v>9</v>
      </c>
      <c r="D1182" t="s">
        <v>80</v>
      </c>
      <c r="E1182">
        <v>310.5</v>
      </c>
      <c r="F1182" s="1">
        <v>46174</v>
      </c>
    </row>
    <row r="1183" spans="1:6" x14ac:dyDescent="0.3">
      <c r="A1183" t="s">
        <v>18</v>
      </c>
      <c r="B1183" t="s">
        <v>38</v>
      </c>
      <c r="C1183" t="s">
        <v>4</v>
      </c>
      <c r="D1183" t="s">
        <v>80</v>
      </c>
      <c r="E1183">
        <v>237.6</v>
      </c>
      <c r="F1183" s="1">
        <v>46174</v>
      </c>
    </row>
    <row r="1184" spans="1:6" x14ac:dyDescent="0.3">
      <c r="A1184" t="s">
        <v>23</v>
      </c>
      <c r="B1184" t="s">
        <v>38</v>
      </c>
      <c r="C1184" t="s">
        <v>9</v>
      </c>
      <c r="D1184" t="s">
        <v>80</v>
      </c>
      <c r="E1184">
        <v>113.1</v>
      </c>
      <c r="F1184" s="1">
        <v>46174</v>
      </c>
    </row>
    <row r="1185" spans="1:6" x14ac:dyDescent="0.3">
      <c r="A1185" t="s">
        <v>23</v>
      </c>
      <c r="B1185" t="s">
        <v>38</v>
      </c>
      <c r="C1185" t="s">
        <v>4</v>
      </c>
      <c r="D1185" t="s">
        <v>80</v>
      </c>
      <c r="E1185">
        <v>40.299999999999997</v>
      </c>
      <c r="F1185" s="1">
        <v>46174</v>
      </c>
    </row>
    <row r="1186" spans="1:6" x14ac:dyDescent="0.3">
      <c r="A1186" t="s">
        <v>23</v>
      </c>
      <c r="B1186" t="s">
        <v>38</v>
      </c>
      <c r="C1186" t="s">
        <v>6</v>
      </c>
      <c r="D1186" t="s">
        <v>80</v>
      </c>
      <c r="E1186">
        <v>72.8</v>
      </c>
      <c r="F1186" s="1">
        <v>46174</v>
      </c>
    </row>
    <row r="1187" spans="1:6" x14ac:dyDescent="0.3">
      <c r="A1187" t="s">
        <v>22</v>
      </c>
      <c r="B1187" t="s">
        <v>38</v>
      </c>
      <c r="C1187" t="s">
        <v>4</v>
      </c>
      <c r="D1187" t="s">
        <v>80</v>
      </c>
      <c r="E1187">
        <v>68.2</v>
      </c>
      <c r="F1187" s="1">
        <v>46174</v>
      </c>
    </row>
    <row r="1188" spans="1:6" x14ac:dyDescent="0.3">
      <c r="A1188" t="s">
        <v>22</v>
      </c>
      <c r="B1188" t="s">
        <v>38</v>
      </c>
      <c r="C1188" t="s">
        <v>9</v>
      </c>
      <c r="D1188" t="s">
        <v>80</v>
      </c>
      <c r="E1188">
        <v>99.1</v>
      </c>
      <c r="F1188" s="1">
        <v>46174</v>
      </c>
    </row>
    <row r="1189" spans="1:6" x14ac:dyDescent="0.3">
      <c r="A1189" t="s">
        <v>22</v>
      </c>
      <c r="B1189" t="s">
        <v>38</v>
      </c>
      <c r="C1189" t="s">
        <v>6</v>
      </c>
      <c r="D1189" t="s">
        <v>80</v>
      </c>
      <c r="E1189">
        <v>30.9</v>
      </c>
      <c r="F1189" s="1">
        <v>46174</v>
      </c>
    </row>
    <row r="1190" spans="1:6" x14ac:dyDescent="0.3">
      <c r="A1190" t="s">
        <v>28</v>
      </c>
      <c r="B1190" t="s">
        <v>38</v>
      </c>
      <c r="C1190" t="s">
        <v>9</v>
      </c>
      <c r="D1190" t="s">
        <v>80</v>
      </c>
      <c r="E1190">
        <v>186</v>
      </c>
      <c r="F1190" s="1">
        <v>46174</v>
      </c>
    </row>
    <row r="1191" spans="1:6" x14ac:dyDescent="0.3">
      <c r="A1191" t="s">
        <v>28</v>
      </c>
      <c r="B1191" t="s">
        <v>38</v>
      </c>
      <c r="C1191" t="s">
        <v>4</v>
      </c>
      <c r="D1191" t="s">
        <v>80</v>
      </c>
      <c r="E1191">
        <v>116.6</v>
      </c>
      <c r="F1191" s="1">
        <v>46174</v>
      </c>
    </row>
    <row r="1192" spans="1:6" x14ac:dyDescent="0.3">
      <c r="A1192" t="s">
        <v>28</v>
      </c>
      <c r="B1192" t="s">
        <v>38</v>
      </c>
      <c r="C1192" t="s">
        <v>6</v>
      </c>
      <c r="D1192" t="s">
        <v>80</v>
      </c>
      <c r="E1192">
        <v>69.400000000000006</v>
      </c>
      <c r="F1192" s="1">
        <v>46174</v>
      </c>
    </row>
    <row r="1193" spans="1:6" x14ac:dyDescent="0.3">
      <c r="A1193" t="s">
        <v>11</v>
      </c>
      <c r="B1193" t="s">
        <v>38</v>
      </c>
      <c r="C1193" t="s">
        <v>6</v>
      </c>
      <c r="D1193" t="s">
        <v>80</v>
      </c>
      <c r="E1193">
        <v>1341.1</v>
      </c>
      <c r="F1193" s="1">
        <v>46174</v>
      </c>
    </row>
    <row r="1194" spans="1:6" x14ac:dyDescent="0.3">
      <c r="A1194" t="s">
        <v>11</v>
      </c>
      <c r="B1194" t="s">
        <v>38</v>
      </c>
      <c r="C1194" t="s">
        <v>4</v>
      </c>
      <c r="D1194" t="s">
        <v>80</v>
      </c>
      <c r="E1194">
        <v>1654.1</v>
      </c>
      <c r="F1194" s="1">
        <v>46174</v>
      </c>
    </row>
    <row r="1195" spans="1:6" x14ac:dyDescent="0.3">
      <c r="A1195" t="s">
        <v>11</v>
      </c>
      <c r="B1195" t="s">
        <v>38</v>
      </c>
      <c r="C1195" t="s">
        <v>9</v>
      </c>
      <c r="D1195" t="s">
        <v>80</v>
      </c>
      <c r="E1195">
        <v>2995.2</v>
      </c>
      <c r="F1195" s="1">
        <v>46174</v>
      </c>
    </row>
    <row r="1196" spans="1:6" x14ac:dyDescent="0.3">
      <c r="A1196" t="s">
        <v>29</v>
      </c>
      <c r="B1196" t="s">
        <v>38</v>
      </c>
      <c r="C1196" t="s">
        <v>9</v>
      </c>
      <c r="D1196" t="s">
        <v>80</v>
      </c>
      <c r="E1196">
        <v>113.5</v>
      </c>
      <c r="F1196" s="1">
        <v>46174</v>
      </c>
    </row>
    <row r="1197" spans="1:6" x14ac:dyDescent="0.3">
      <c r="A1197" t="s">
        <v>29</v>
      </c>
      <c r="B1197" t="s">
        <v>38</v>
      </c>
      <c r="C1197" t="s">
        <v>6</v>
      </c>
      <c r="D1197" t="s">
        <v>80</v>
      </c>
      <c r="E1197">
        <v>32.6</v>
      </c>
      <c r="F1197" s="1">
        <v>46174</v>
      </c>
    </row>
    <row r="1198" spans="1:6" x14ac:dyDescent="0.3">
      <c r="A1198" t="s">
        <v>29</v>
      </c>
      <c r="B1198" t="s">
        <v>38</v>
      </c>
      <c r="C1198" t="s">
        <v>4</v>
      </c>
      <c r="D1198" t="s">
        <v>80</v>
      </c>
      <c r="E1198">
        <v>80.900000000000006</v>
      </c>
      <c r="F1198" s="1">
        <v>46174</v>
      </c>
    </row>
    <row r="1199" spans="1:6" x14ac:dyDescent="0.3">
      <c r="A1199" t="s">
        <v>24</v>
      </c>
      <c r="B1199" t="s">
        <v>38</v>
      </c>
      <c r="C1199" t="s">
        <v>4</v>
      </c>
      <c r="D1199" t="s">
        <v>80</v>
      </c>
      <c r="E1199">
        <v>0</v>
      </c>
      <c r="F1199" s="1">
        <v>46174</v>
      </c>
    </row>
    <row r="1200" spans="1:6" x14ac:dyDescent="0.3">
      <c r="A1200" t="s">
        <v>24</v>
      </c>
      <c r="B1200" t="s">
        <v>38</v>
      </c>
      <c r="C1200" t="s">
        <v>6</v>
      </c>
      <c r="D1200" t="s">
        <v>80</v>
      </c>
      <c r="E1200">
        <v>0</v>
      </c>
      <c r="F1200" s="1">
        <v>46174</v>
      </c>
    </row>
    <row r="1201" spans="1:6" x14ac:dyDescent="0.3">
      <c r="A1201" t="s">
        <v>24</v>
      </c>
      <c r="B1201" t="s">
        <v>38</v>
      </c>
      <c r="C1201" t="s">
        <v>9</v>
      </c>
      <c r="D1201" t="s">
        <v>80</v>
      </c>
      <c r="E1201">
        <v>19.5</v>
      </c>
      <c r="F1201" s="1">
        <v>46174</v>
      </c>
    </row>
    <row r="1202" spans="1:6" x14ac:dyDescent="0.3">
      <c r="A1202" t="s">
        <v>27</v>
      </c>
      <c r="B1202" t="s">
        <v>38</v>
      </c>
      <c r="C1202" t="s">
        <v>6</v>
      </c>
      <c r="D1202" t="s">
        <v>80</v>
      </c>
      <c r="E1202">
        <v>133.80000000000001</v>
      </c>
      <c r="F1202" s="1">
        <v>46174</v>
      </c>
    </row>
    <row r="1203" spans="1:6" x14ac:dyDescent="0.3">
      <c r="A1203" t="s">
        <v>27</v>
      </c>
      <c r="B1203" t="s">
        <v>38</v>
      </c>
      <c r="C1203" t="s">
        <v>9</v>
      </c>
      <c r="D1203" t="s">
        <v>80</v>
      </c>
      <c r="E1203">
        <v>289.60000000000002</v>
      </c>
      <c r="F1203" s="1">
        <v>46174</v>
      </c>
    </row>
    <row r="1204" spans="1:6" x14ac:dyDescent="0.3">
      <c r="A1204" t="s">
        <v>27</v>
      </c>
      <c r="B1204" t="s">
        <v>38</v>
      </c>
      <c r="C1204" t="s">
        <v>4</v>
      </c>
      <c r="D1204" t="s">
        <v>80</v>
      </c>
      <c r="E1204">
        <v>155.80000000000001</v>
      </c>
      <c r="F1204" s="1">
        <v>46174</v>
      </c>
    </row>
    <row r="1205" spans="1:6" x14ac:dyDescent="0.3">
      <c r="A1205" t="s">
        <v>26</v>
      </c>
      <c r="B1205" t="s">
        <v>38</v>
      </c>
      <c r="C1205" t="s">
        <v>9</v>
      </c>
      <c r="D1205" t="s">
        <v>80</v>
      </c>
      <c r="E1205">
        <v>230.5</v>
      </c>
      <c r="F1205" s="1">
        <v>46174</v>
      </c>
    </row>
    <row r="1206" spans="1:6" x14ac:dyDescent="0.3">
      <c r="A1206" t="s">
        <v>26</v>
      </c>
      <c r="B1206" t="s">
        <v>38</v>
      </c>
      <c r="C1206" t="s">
        <v>6</v>
      </c>
      <c r="D1206" t="s">
        <v>80</v>
      </c>
      <c r="E1206">
        <v>30.5</v>
      </c>
      <c r="F1206" s="1">
        <v>46174</v>
      </c>
    </row>
    <row r="1207" spans="1:6" x14ac:dyDescent="0.3">
      <c r="A1207" t="s">
        <v>26</v>
      </c>
      <c r="B1207" t="s">
        <v>38</v>
      </c>
      <c r="C1207" t="s">
        <v>4</v>
      </c>
      <c r="D1207" t="s">
        <v>80</v>
      </c>
      <c r="E1207">
        <v>200</v>
      </c>
      <c r="F1207" s="1">
        <v>46174</v>
      </c>
    </row>
    <row r="1208" spans="1:6" x14ac:dyDescent="0.3">
      <c r="A1208" t="s">
        <v>25</v>
      </c>
      <c r="B1208" t="s">
        <v>38</v>
      </c>
      <c r="C1208" t="s">
        <v>4</v>
      </c>
      <c r="D1208" t="s">
        <v>80</v>
      </c>
      <c r="E1208">
        <v>3.6</v>
      </c>
      <c r="F1208" s="1">
        <v>46174</v>
      </c>
    </row>
    <row r="1209" spans="1:6" x14ac:dyDescent="0.3">
      <c r="A1209" t="s">
        <v>25</v>
      </c>
      <c r="B1209" t="s">
        <v>38</v>
      </c>
      <c r="C1209" t="s">
        <v>6</v>
      </c>
      <c r="D1209" t="s">
        <v>80</v>
      </c>
      <c r="E1209">
        <v>43.6</v>
      </c>
      <c r="F1209" s="1">
        <v>46174</v>
      </c>
    </row>
    <row r="1210" spans="1:6" x14ac:dyDescent="0.3">
      <c r="A1210" t="s">
        <v>25</v>
      </c>
      <c r="B1210" t="s">
        <v>38</v>
      </c>
      <c r="C1210" t="s">
        <v>9</v>
      </c>
      <c r="D1210" t="s">
        <v>80</v>
      </c>
      <c r="E1210">
        <v>47.2</v>
      </c>
      <c r="F1210" s="1">
        <v>46174</v>
      </c>
    </row>
    <row r="1211" spans="1:6" x14ac:dyDescent="0.3">
      <c r="A1211" t="s">
        <v>30</v>
      </c>
      <c r="B1211" t="s">
        <v>38</v>
      </c>
      <c r="C1211" t="s">
        <v>6</v>
      </c>
      <c r="D1211" t="s">
        <v>80</v>
      </c>
      <c r="E1211">
        <v>58.3</v>
      </c>
      <c r="F1211" s="1">
        <v>46174</v>
      </c>
    </row>
    <row r="1212" spans="1:6" x14ac:dyDescent="0.3">
      <c r="A1212" t="s">
        <v>30</v>
      </c>
      <c r="B1212" t="s">
        <v>38</v>
      </c>
      <c r="C1212" t="s">
        <v>9</v>
      </c>
      <c r="D1212" t="s">
        <v>80</v>
      </c>
      <c r="E1212">
        <v>221.2</v>
      </c>
      <c r="F1212" s="1">
        <v>46174</v>
      </c>
    </row>
    <row r="1213" spans="1:6" x14ac:dyDescent="0.3">
      <c r="A1213" t="s">
        <v>30</v>
      </c>
      <c r="B1213" t="s">
        <v>38</v>
      </c>
      <c r="C1213" t="s">
        <v>4</v>
      </c>
      <c r="D1213" t="s">
        <v>80</v>
      </c>
      <c r="E1213">
        <v>162.9</v>
      </c>
      <c r="F1213" s="1">
        <v>46174</v>
      </c>
    </row>
    <row r="1214" spans="1:6" x14ac:dyDescent="0.3">
      <c r="A1214" t="s">
        <v>15</v>
      </c>
      <c r="B1214" t="s">
        <v>38</v>
      </c>
      <c r="C1214" t="s">
        <v>4</v>
      </c>
      <c r="D1214" t="s">
        <v>79</v>
      </c>
      <c r="E1214">
        <v>8.4</v>
      </c>
      <c r="F1214" s="1">
        <v>45809</v>
      </c>
    </row>
    <row r="1215" spans="1:6" x14ac:dyDescent="0.3">
      <c r="A1215" t="s">
        <v>15</v>
      </c>
      <c r="B1215" t="s">
        <v>38</v>
      </c>
      <c r="C1215" t="s">
        <v>6</v>
      </c>
      <c r="D1215" t="s">
        <v>79</v>
      </c>
      <c r="E1215">
        <v>101</v>
      </c>
      <c r="F1215" s="1">
        <v>45809</v>
      </c>
    </row>
    <row r="1216" spans="1:6" x14ac:dyDescent="0.3">
      <c r="A1216" t="s">
        <v>15</v>
      </c>
      <c r="B1216" t="s">
        <v>38</v>
      </c>
      <c r="C1216" t="s">
        <v>9</v>
      </c>
      <c r="D1216" t="s">
        <v>79</v>
      </c>
      <c r="E1216">
        <v>109.4</v>
      </c>
      <c r="F1216" s="1">
        <v>45809</v>
      </c>
    </row>
    <row r="1217" spans="1:6" x14ac:dyDescent="0.3">
      <c r="A1217" t="s">
        <v>7</v>
      </c>
      <c r="B1217" t="s">
        <v>38</v>
      </c>
      <c r="C1217" t="s">
        <v>9</v>
      </c>
      <c r="D1217" t="s">
        <v>79</v>
      </c>
      <c r="E1217">
        <v>139.9</v>
      </c>
      <c r="F1217" s="1">
        <v>45809</v>
      </c>
    </row>
    <row r="1218" spans="1:6" x14ac:dyDescent="0.3">
      <c r="A1218" t="s">
        <v>7</v>
      </c>
      <c r="B1218" t="s">
        <v>38</v>
      </c>
      <c r="C1218" t="s">
        <v>6</v>
      </c>
      <c r="D1218" t="s">
        <v>79</v>
      </c>
      <c r="E1218">
        <v>78.099999999999994</v>
      </c>
      <c r="F1218" s="1">
        <v>45809</v>
      </c>
    </row>
    <row r="1219" spans="1:6" x14ac:dyDescent="0.3">
      <c r="A1219" t="s">
        <v>7</v>
      </c>
      <c r="B1219" t="s">
        <v>38</v>
      </c>
      <c r="C1219" t="s">
        <v>4</v>
      </c>
      <c r="D1219" t="s">
        <v>79</v>
      </c>
      <c r="E1219">
        <v>61.8</v>
      </c>
      <c r="F1219" s="1">
        <v>45809</v>
      </c>
    </row>
    <row r="1220" spans="1:6" x14ac:dyDescent="0.3">
      <c r="A1220" t="s">
        <v>10</v>
      </c>
      <c r="B1220" t="s">
        <v>38</v>
      </c>
      <c r="C1220" t="s">
        <v>6</v>
      </c>
      <c r="D1220" t="s">
        <v>79</v>
      </c>
      <c r="E1220">
        <v>136.4</v>
      </c>
      <c r="F1220" s="1">
        <v>45809</v>
      </c>
    </row>
    <row r="1221" spans="1:6" x14ac:dyDescent="0.3">
      <c r="A1221" t="s">
        <v>10</v>
      </c>
      <c r="B1221" t="s">
        <v>38</v>
      </c>
      <c r="C1221" t="s">
        <v>4</v>
      </c>
      <c r="D1221" t="s">
        <v>79</v>
      </c>
      <c r="E1221">
        <v>141</v>
      </c>
      <c r="F1221" s="1">
        <v>45809</v>
      </c>
    </row>
    <row r="1222" spans="1:6" x14ac:dyDescent="0.3">
      <c r="A1222" t="s">
        <v>10</v>
      </c>
      <c r="B1222" t="s">
        <v>38</v>
      </c>
      <c r="C1222" t="s">
        <v>9</v>
      </c>
      <c r="D1222" t="s">
        <v>79</v>
      </c>
      <c r="E1222">
        <v>277.39999999999998</v>
      </c>
      <c r="F1222" s="1">
        <v>45809</v>
      </c>
    </row>
    <row r="1223" spans="1:6" x14ac:dyDescent="0.3">
      <c r="A1223" t="s">
        <v>5</v>
      </c>
      <c r="B1223" t="s">
        <v>38</v>
      </c>
      <c r="C1223" t="s">
        <v>4</v>
      </c>
      <c r="D1223" t="s">
        <v>79</v>
      </c>
      <c r="E1223">
        <v>32.299999999999997</v>
      </c>
      <c r="F1223" s="1">
        <v>45809</v>
      </c>
    </row>
    <row r="1224" spans="1:6" x14ac:dyDescent="0.3">
      <c r="A1224" t="s">
        <v>5</v>
      </c>
      <c r="B1224" t="s">
        <v>38</v>
      </c>
      <c r="C1224" t="s">
        <v>6</v>
      </c>
      <c r="D1224" t="s">
        <v>79</v>
      </c>
      <c r="E1224">
        <v>60.8</v>
      </c>
      <c r="F1224" s="1">
        <v>45809</v>
      </c>
    </row>
    <row r="1225" spans="1:6" x14ac:dyDescent="0.3">
      <c r="A1225" t="s">
        <v>5</v>
      </c>
      <c r="B1225" t="s">
        <v>38</v>
      </c>
      <c r="C1225" t="s">
        <v>9</v>
      </c>
      <c r="D1225" t="s">
        <v>79</v>
      </c>
      <c r="E1225">
        <v>93.1</v>
      </c>
      <c r="F1225" s="1">
        <v>45809</v>
      </c>
    </row>
    <row r="1226" spans="1:6" x14ac:dyDescent="0.3">
      <c r="A1226" t="s">
        <v>3</v>
      </c>
      <c r="B1226" t="s">
        <v>38</v>
      </c>
      <c r="C1226" t="s">
        <v>9</v>
      </c>
      <c r="D1226" t="s">
        <v>79</v>
      </c>
      <c r="E1226">
        <v>8.4</v>
      </c>
      <c r="F1226" s="1">
        <v>45809</v>
      </c>
    </row>
    <row r="1227" spans="1:6" x14ac:dyDescent="0.3">
      <c r="A1227" t="s">
        <v>3</v>
      </c>
      <c r="B1227" t="s">
        <v>38</v>
      </c>
      <c r="C1227" t="s">
        <v>6</v>
      </c>
      <c r="D1227" t="s">
        <v>79</v>
      </c>
      <c r="E1227">
        <v>0</v>
      </c>
      <c r="F1227" s="1">
        <v>45809</v>
      </c>
    </row>
    <row r="1228" spans="1:6" x14ac:dyDescent="0.3">
      <c r="A1228" t="s">
        <v>3</v>
      </c>
      <c r="B1228" t="s">
        <v>38</v>
      </c>
      <c r="C1228" t="s">
        <v>4</v>
      </c>
      <c r="D1228" t="s">
        <v>79</v>
      </c>
      <c r="E1228">
        <v>0</v>
      </c>
      <c r="F1228" s="1">
        <v>45809</v>
      </c>
    </row>
    <row r="1229" spans="1:6" x14ac:dyDescent="0.3">
      <c r="A1229" t="s">
        <v>8</v>
      </c>
      <c r="B1229" t="s">
        <v>38</v>
      </c>
      <c r="C1229" t="s">
        <v>4</v>
      </c>
      <c r="D1229" t="s">
        <v>79</v>
      </c>
      <c r="E1229">
        <v>74.400000000000006</v>
      </c>
      <c r="F1229" s="1">
        <v>45809</v>
      </c>
    </row>
    <row r="1230" spans="1:6" x14ac:dyDescent="0.3">
      <c r="A1230" t="s">
        <v>8</v>
      </c>
      <c r="B1230" t="s">
        <v>38</v>
      </c>
      <c r="C1230" t="s">
        <v>6</v>
      </c>
      <c r="D1230" t="s">
        <v>79</v>
      </c>
      <c r="E1230">
        <v>123.2</v>
      </c>
      <c r="F1230" s="1">
        <v>45809</v>
      </c>
    </row>
    <row r="1231" spans="1:6" x14ac:dyDescent="0.3">
      <c r="A1231" t="s">
        <v>8</v>
      </c>
      <c r="B1231" t="s">
        <v>38</v>
      </c>
      <c r="C1231" t="s">
        <v>9</v>
      </c>
      <c r="D1231" t="s">
        <v>79</v>
      </c>
      <c r="E1231">
        <v>197.6</v>
      </c>
      <c r="F1231" s="1">
        <v>45809</v>
      </c>
    </row>
    <row r="1232" spans="1:6" x14ac:dyDescent="0.3">
      <c r="A1232" t="s">
        <v>13</v>
      </c>
      <c r="B1232" t="s">
        <v>38</v>
      </c>
      <c r="C1232" t="s">
        <v>4</v>
      </c>
      <c r="D1232" t="s">
        <v>79</v>
      </c>
      <c r="E1232">
        <v>0.6</v>
      </c>
      <c r="F1232" s="1">
        <v>45809</v>
      </c>
    </row>
    <row r="1233" spans="1:6" x14ac:dyDescent="0.3">
      <c r="A1233" t="s">
        <v>13</v>
      </c>
      <c r="B1233" t="s">
        <v>38</v>
      </c>
      <c r="C1233" t="s">
        <v>9</v>
      </c>
      <c r="D1233" t="s">
        <v>79</v>
      </c>
      <c r="E1233">
        <v>123.2</v>
      </c>
      <c r="F1233" s="1">
        <v>45809</v>
      </c>
    </row>
    <row r="1234" spans="1:6" x14ac:dyDescent="0.3">
      <c r="A1234" t="s">
        <v>13</v>
      </c>
      <c r="B1234" t="s">
        <v>38</v>
      </c>
      <c r="C1234" t="s">
        <v>6</v>
      </c>
      <c r="D1234" t="s">
        <v>79</v>
      </c>
      <c r="E1234">
        <v>122.6</v>
      </c>
      <c r="F1234" s="1">
        <v>45809</v>
      </c>
    </row>
    <row r="1235" spans="1:6" x14ac:dyDescent="0.3">
      <c r="A1235" t="s">
        <v>14</v>
      </c>
      <c r="B1235" t="s">
        <v>38</v>
      </c>
      <c r="C1235" t="s">
        <v>9</v>
      </c>
      <c r="D1235" t="s">
        <v>79</v>
      </c>
      <c r="E1235">
        <v>8.9</v>
      </c>
      <c r="F1235" s="1">
        <v>45809</v>
      </c>
    </row>
    <row r="1236" spans="1:6" x14ac:dyDescent="0.3">
      <c r="A1236" t="s">
        <v>14</v>
      </c>
      <c r="B1236" t="s">
        <v>38</v>
      </c>
      <c r="C1236" t="s">
        <v>4</v>
      </c>
      <c r="D1236" t="s">
        <v>79</v>
      </c>
      <c r="E1236">
        <v>1.9</v>
      </c>
      <c r="F1236" s="1">
        <v>45809</v>
      </c>
    </row>
    <row r="1237" spans="1:6" x14ac:dyDescent="0.3">
      <c r="A1237" t="s">
        <v>14</v>
      </c>
      <c r="B1237" t="s">
        <v>38</v>
      </c>
      <c r="C1237" t="s">
        <v>6</v>
      </c>
      <c r="D1237" t="s">
        <v>79</v>
      </c>
      <c r="E1237">
        <v>7</v>
      </c>
      <c r="F1237" s="1">
        <v>45809</v>
      </c>
    </row>
    <row r="1238" spans="1:6" x14ac:dyDescent="0.3">
      <c r="A1238" t="s">
        <v>12</v>
      </c>
      <c r="B1238" t="s">
        <v>38</v>
      </c>
      <c r="C1238" t="s">
        <v>9</v>
      </c>
      <c r="D1238" t="s">
        <v>79</v>
      </c>
      <c r="E1238">
        <v>167.1</v>
      </c>
      <c r="F1238" s="1">
        <v>45809</v>
      </c>
    </row>
    <row r="1239" spans="1:6" x14ac:dyDescent="0.3">
      <c r="A1239" t="s">
        <v>12</v>
      </c>
      <c r="B1239" t="s">
        <v>38</v>
      </c>
      <c r="C1239" t="s">
        <v>4</v>
      </c>
      <c r="D1239" t="s">
        <v>79</v>
      </c>
      <c r="E1239">
        <v>139.4</v>
      </c>
      <c r="F1239" s="1">
        <v>45809</v>
      </c>
    </row>
    <row r="1240" spans="1:6" x14ac:dyDescent="0.3">
      <c r="A1240" t="s">
        <v>12</v>
      </c>
      <c r="B1240" t="s">
        <v>38</v>
      </c>
      <c r="C1240" t="s">
        <v>6</v>
      </c>
      <c r="D1240" t="s">
        <v>79</v>
      </c>
      <c r="E1240">
        <v>27.7</v>
      </c>
      <c r="F1240" s="1">
        <v>45809</v>
      </c>
    </row>
    <row r="1241" spans="1:6" x14ac:dyDescent="0.3">
      <c r="A1241" t="s">
        <v>16</v>
      </c>
      <c r="B1241" t="s">
        <v>38</v>
      </c>
      <c r="C1241" t="s">
        <v>6</v>
      </c>
      <c r="D1241" t="s">
        <v>79</v>
      </c>
      <c r="E1241">
        <v>81.599999999999994</v>
      </c>
      <c r="F1241" s="1">
        <v>45809</v>
      </c>
    </row>
    <row r="1242" spans="1:6" x14ac:dyDescent="0.3">
      <c r="A1242" t="s">
        <v>16</v>
      </c>
      <c r="B1242" t="s">
        <v>38</v>
      </c>
      <c r="C1242" t="s">
        <v>4</v>
      </c>
      <c r="D1242" t="s">
        <v>79</v>
      </c>
      <c r="E1242">
        <v>38.9</v>
      </c>
      <c r="F1242" s="1">
        <v>45809</v>
      </c>
    </row>
    <row r="1243" spans="1:6" x14ac:dyDescent="0.3">
      <c r="A1243" t="s">
        <v>16</v>
      </c>
      <c r="B1243" t="s">
        <v>38</v>
      </c>
      <c r="C1243" t="s">
        <v>9</v>
      </c>
      <c r="D1243" t="s">
        <v>79</v>
      </c>
      <c r="E1243">
        <v>120.5</v>
      </c>
      <c r="F1243" s="1">
        <v>45809</v>
      </c>
    </row>
    <row r="1244" spans="1:6" x14ac:dyDescent="0.3">
      <c r="A1244" t="s">
        <v>17</v>
      </c>
      <c r="B1244" t="s">
        <v>38</v>
      </c>
      <c r="C1244" t="s">
        <v>9</v>
      </c>
      <c r="D1244" t="s">
        <v>79</v>
      </c>
      <c r="E1244">
        <v>19.8</v>
      </c>
      <c r="F1244" s="1">
        <v>45809</v>
      </c>
    </row>
    <row r="1245" spans="1:6" x14ac:dyDescent="0.3">
      <c r="A1245" t="s">
        <v>17</v>
      </c>
      <c r="B1245" t="s">
        <v>38</v>
      </c>
      <c r="C1245" t="s">
        <v>4</v>
      </c>
      <c r="D1245" t="s">
        <v>79</v>
      </c>
      <c r="E1245">
        <v>0</v>
      </c>
      <c r="F1245" s="1">
        <v>45809</v>
      </c>
    </row>
    <row r="1246" spans="1:6" x14ac:dyDescent="0.3">
      <c r="A1246" t="s">
        <v>17</v>
      </c>
      <c r="B1246" t="s">
        <v>38</v>
      </c>
      <c r="C1246" t="s">
        <v>6</v>
      </c>
      <c r="D1246" t="s">
        <v>79</v>
      </c>
      <c r="E1246">
        <v>0</v>
      </c>
      <c r="F1246" s="1">
        <v>45809</v>
      </c>
    </row>
    <row r="1247" spans="1:6" x14ac:dyDescent="0.3">
      <c r="A1247" t="s">
        <v>21</v>
      </c>
      <c r="B1247" t="s">
        <v>38</v>
      </c>
      <c r="C1247" t="s">
        <v>4</v>
      </c>
      <c r="D1247" t="s">
        <v>79</v>
      </c>
      <c r="E1247">
        <v>16.7</v>
      </c>
      <c r="F1247" s="1">
        <v>45809</v>
      </c>
    </row>
    <row r="1248" spans="1:6" x14ac:dyDescent="0.3">
      <c r="A1248" t="s">
        <v>21</v>
      </c>
      <c r="B1248" t="s">
        <v>38</v>
      </c>
      <c r="C1248" t="s">
        <v>9</v>
      </c>
      <c r="D1248" t="s">
        <v>79</v>
      </c>
      <c r="E1248">
        <v>144.30000000000001</v>
      </c>
      <c r="F1248" s="1">
        <v>45809</v>
      </c>
    </row>
    <row r="1249" spans="1:6" x14ac:dyDescent="0.3">
      <c r="A1249" t="s">
        <v>21</v>
      </c>
      <c r="B1249" t="s">
        <v>38</v>
      </c>
      <c r="C1249" t="s">
        <v>6</v>
      </c>
      <c r="D1249" t="s">
        <v>79</v>
      </c>
      <c r="E1249">
        <v>127.6</v>
      </c>
      <c r="F1249" s="1">
        <v>45809</v>
      </c>
    </row>
    <row r="1250" spans="1:6" x14ac:dyDescent="0.3">
      <c r="A1250" t="s">
        <v>19</v>
      </c>
      <c r="B1250" t="s">
        <v>38</v>
      </c>
      <c r="C1250" t="s">
        <v>4</v>
      </c>
      <c r="D1250" t="s">
        <v>79</v>
      </c>
      <c r="E1250">
        <v>36.6</v>
      </c>
      <c r="F1250" s="1">
        <v>45809</v>
      </c>
    </row>
    <row r="1251" spans="1:6" x14ac:dyDescent="0.3">
      <c r="A1251" t="s">
        <v>19</v>
      </c>
      <c r="B1251" t="s">
        <v>38</v>
      </c>
      <c r="C1251" t="s">
        <v>6</v>
      </c>
      <c r="D1251" t="s">
        <v>79</v>
      </c>
      <c r="E1251">
        <v>59.5</v>
      </c>
      <c r="F1251" s="1">
        <v>45809</v>
      </c>
    </row>
    <row r="1252" spans="1:6" x14ac:dyDescent="0.3">
      <c r="A1252" t="s">
        <v>19</v>
      </c>
      <c r="B1252" t="s">
        <v>38</v>
      </c>
      <c r="C1252" t="s">
        <v>9</v>
      </c>
      <c r="D1252" t="s">
        <v>79</v>
      </c>
      <c r="E1252">
        <v>96.1</v>
      </c>
      <c r="F1252" s="1">
        <v>45809</v>
      </c>
    </row>
    <row r="1253" spans="1:6" x14ac:dyDescent="0.3">
      <c r="A1253" t="s">
        <v>20</v>
      </c>
      <c r="B1253" t="s">
        <v>38</v>
      </c>
      <c r="C1253" t="s">
        <v>4</v>
      </c>
      <c r="D1253" t="s">
        <v>79</v>
      </c>
      <c r="E1253">
        <v>11.7</v>
      </c>
      <c r="F1253" s="1">
        <v>45809</v>
      </c>
    </row>
    <row r="1254" spans="1:6" x14ac:dyDescent="0.3">
      <c r="A1254" t="s">
        <v>20</v>
      </c>
      <c r="B1254" t="s">
        <v>38</v>
      </c>
      <c r="C1254" t="s">
        <v>9</v>
      </c>
      <c r="D1254" t="s">
        <v>79</v>
      </c>
      <c r="E1254">
        <v>128.80000000000001</v>
      </c>
      <c r="F1254" s="1">
        <v>45809</v>
      </c>
    </row>
    <row r="1255" spans="1:6" x14ac:dyDescent="0.3">
      <c r="A1255" t="s">
        <v>20</v>
      </c>
      <c r="B1255" t="s">
        <v>38</v>
      </c>
      <c r="C1255" t="s">
        <v>6</v>
      </c>
      <c r="D1255" t="s">
        <v>79</v>
      </c>
      <c r="E1255">
        <v>117.1</v>
      </c>
      <c r="F1255" s="1">
        <v>45809</v>
      </c>
    </row>
    <row r="1256" spans="1:6" x14ac:dyDescent="0.3">
      <c r="A1256" t="s">
        <v>18</v>
      </c>
      <c r="B1256" t="s">
        <v>38</v>
      </c>
      <c r="C1256" t="s">
        <v>6</v>
      </c>
      <c r="D1256" t="s">
        <v>79</v>
      </c>
      <c r="E1256">
        <v>91.5</v>
      </c>
      <c r="F1256" s="1">
        <v>45809</v>
      </c>
    </row>
    <row r="1257" spans="1:6" x14ac:dyDescent="0.3">
      <c r="A1257" t="s">
        <v>18</v>
      </c>
      <c r="B1257" t="s">
        <v>38</v>
      </c>
      <c r="C1257" t="s">
        <v>9</v>
      </c>
      <c r="D1257" t="s">
        <v>79</v>
      </c>
      <c r="E1257">
        <v>331</v>
      </c>
      <c r="F1257" s="1">
        <v>45809</v>
      </c>
    </row>
    <row r="1258" spans="1:6" x14ac:dyDescent="0.3">
      <c r="A1258" t="s">
        <v>18</v>
      </c>
      <c r="B1258" t="s">
        <v>38</v>
      </c>
      <c r="C1258" t="s">
        <v>4</v>
      </c>
      <c r="D1258" t="s">
        <v>79</v>
      </c>
      <c r="E1258">
        <v>239.5</v>
      </c>
      <c r="F1258" s="1">
        <v>45809</v>
      </c>
    </row>
    <row r="1259" spans="1:6" x14ac:dyDescent="0.3">
      <c r="A1259" t="s">
        <v>23</v>
      </c>
      <c r="B1259" t="s">
        <v>38</v>
      </c>
      <c r="C1259" t="s">
        <v>9</v>
      </c>
      <c r="D1259" t="s">
        <v>79</v>
      </c>
      <c r="E1259">
        <v>128.69999999999999</v>
      </c>
      <c r="F1259" s="1">
        <v>45809</v>
      </c>
    </row>
    <row r="1260" spans="1:6" x14ac:dyDescent="0.3">
      <c r="A1260" t="s">
        <v>23</v>
      </c>
      <c r="B1260" t="s">
        <v>38</v>
      </c>
      <c r="C1260" t="s">
        <v>4</v>
      </c>
      <c r="D1260" t="s">
        <v>79</v>
      </c>
      <c r="E1260">
        <v>29.5</v>
      </c>
      <c r="F1260" s="1">
        <v>45809</v>
      </c>
    </row>
    <row r="1261" spans="1:6" x14ac:dyDescent="0.3">
      <c r="A1261" t="s">
        <v>23</v>
      </c>
      <c r="B1261" t="s">
        <v>38</v>
      </c>
      <c r="C1261" t="s">
        <v>6</v>
      </c>
      <c r="D1261" t="s">
        <v>79</v>
      </c>
      <c r="E1261">
        <v>99.2</v>
      </c>
      <c r="F1261" s="1">
        <v>45809</v>
      </c>
    </row>
    <row r="1262" spans="1:6" x14ac:dyDescent="0.3">
      <c r="A1262" t="s">
        <v>22</v>
      </c>
      <c r="B1262" t="s">
        <v>38</v>
      </c>
      <c r="C1262" t="s">
        <v>4</v>
      </c>
      <c r="D1262" t="s">
        <v>79</v>
      </c>
      <c r="E1262">
        <v>76</v>
      </c>
      <c r="F1262" s="1">
        <v>45809</v>
      </c>
    </row>
    <row r="1263" spans="1:6" x14ac:dyDescent="0.3">
      <c r="A1263" t="s">
        <v>22</v>
      </c>
      <c r="B1263" t="s">
        <v>38</v>
      </c>
      <c r="C1263" t="s">
        <v>9</v>
      </c>
      <c r="D1263" t="s">
        <v>79</v>
      </c>
      <c r="E1263">
        <v>119.5</v>
      </c>
      <c r="F1263" s="1">
        <v>45809</v>
      </c>
    </row>
    <row r="1264" spans="1:6" x14ac:dyDescent="0.3">
      <c r="A1264" t="s">
        <v>22</v>
      </c>
      <c r="B1264" t="s">
        <v>38</v>
      </c>
      <c r="C1264" t="s">
        <v>6</v>
      </c>
      <c r="D1264" t="s">
        <v>79</v>
      </c>
      <c r="E1264">
        <v>43.5</v>
      </c>
      <c r="F1264" s="1">
        <v>45809</v>
      </c>
    </row>
    <row r="1265" spans="1:6" x14ac:dyDescent="0.3">
      <c r="A1265" t="s">
        <v>28</v>
      </c>
      <c r="B1265" t="s">
        <v>38</v>
      </c>
      <c r="C1265" t="s">
        <v>9</v>
      </c>
      <c r="D1265" t="s">
        <v>79</v>
      </c>
      <c r="E1265">
        <v>227.3</v>
      </c>
      <c r="F1265" s="1">
        <v>45809</v>
      </c>
    </row>
    <row r="1266" spans="1:6" x14ac:dyDescent="0.3">
      <c r="A1266" t="s">
        <v>28</v>
      </c>
      <c r="B1266" t="s">
        <v>38</v>
      </c>
      <c r="C1266" t="s">
        <v>4</v>
      </c>
      <c r="D1266" t="s">
        <v>79</v>
      </c>
      <c r="E1266">
        <v>103</v>
      </c>
      <c r="F1266" s="1">
        <v>45809</v>
      </c>
    </row>
    <row r="1267" spans="1:6" x14ac:dyDescent="0.3">
      <c r="A1267" t="s">
        <v>28</v>
      </c>
      <c r="B1267" t="s">
        <v>38</v>
      </c>
      <c r="C1267" t="s">
        <v>6</v>
      </c>
      <c r="D1267" t="s">
        <v>79</v>
      </c>
      <c r="E1267">
        <v>124.3</v>
      </c>
      <c r="F1267" s="1">
        <v>45809</v>
      </c>
    </row>
    <row r="1268" spans="1:6" x14ac:dyDescent="0.3">
      <c r="A1268" t="s">
        <v>11</v>
      </c>
      <c r="B1268" t="s">
        <v>38</v>
      </c>
      <c r="C1268" t="s">
        <v>6</v>
      </c>
      <c r="D1268" t="s">
        <v>79</v>
      </c>
      <c r="E1268">
        <v>1823.9</v>
      </c>
      <c r="F1268" s="1">
        <v>45809</v>
      </c>
    </row>
    <row r="1269" spans="1:6" x14ac:dyDescent="0.3">
      <c r="A1269" t="s">
        <v>11</v>
      </c>
      <c r="B1269" t="s">
        <v>38</v>
      </c>
      <c r="C1269" t="s">
        <v>4</v>
      </c>
      <c r="D1269" t="s">
        <v>79</v>
      </c>
      <c r="E1269">
        <v>1585.8</v>
      </c>
      <c r="F1269" s="1">
        <v>45809</v>
      </c>
    </row>
    <row r="1270" spans="1:6" x14ac:dyDescent="0.3">
      <c r="A1270" t="s">
        <v>11</v>
      </c>
      <c r="B1270" t="s">
        <v>38</v>
      </c>
      <c r="C1270" t="s">
        <v>9</v>
      </c>
      <c r="D1270" t="s">
        <v>79</v>
      </c>
      <c r="E1270">
        <v>3409.7</v>
      </c>
      <c r="F1270" s="1">
        <v>45809</v>
      </c>
    </row>
    <row r="1271" spans="1:6" x14ac:dyDescent="0.3">
      <c r="A1271" t="s">
        <v>29</v>
      </c>
      <c r="B1271" t="s">
        <v>38</v>
      </c>
      <c r="C1271" t="s">
        <v>9</v>
      </c>
      <c r="D1271" t="s">
        <v>79</v>
      </c>
      <c r="E1271">
        <v>116</v>
      </c>
      <c r="F1271" s="1">
        <v>45809</v>
      </c>
    </row>
    <row r="1272" spans="1:6" x14ac:dyDescent="0.3">
      <c r="A1272" t="s">
        <v>29</v>
      </c>
      <c r="B1272" t="s">
        <v>38</v>
      </c>
      <c r="C1272" t="s">
        <v>6</v>
      </c>
      <c r="D1272" t="s">
        <v>79</v>
      </c>
      <c r="E1272">
        <v>34.5</v>
      </c>
      <c r="F1272" s="1">
        <v>45809</v>
      </c>
    </row>
    <row r="1273" spans="1:6" x14ac:dyDescent="0.3">
      <c r="A1273" t="s">
        <v>29</v>
      </c>
      <c r="B1273" t="s">
        <v>38</v>
      </c>
      <c r="C1273" t="s">
        <v>4</v>
      </c>
      <c r="D1273" t="s">
        <v>79</v>
      </c>
      <c r="E1273">
        <v>81.5</v>
      </c>
      <c r="F1273" s="1">
        <v>45809</v>
      </c>
    </row>
    <row r="1274" spans="1:6" x14ac:dyDescent="0.3">
      <c r="A1274" t="s">
        <v>24</v>
      </c>
      <c r="B1274" t="s">
        <v>38</v>
      </c>
      <c r="C1274" t="s">
        <v>4</v>
      </c>
      <c r="D1274" t="s">
        <v>79</v>
      </c>
      <c r="E1274">
        <v>0</v>
      </c>
      <c r="F1274" s="1">
        <v>45809</v>
      </c>
    </row>
    <row r="1275" spans="1:6" x14ac:dyDescent="0.3">
      <c r="A1275" t="s">
        <v>24</v>
      </c>
      <c r="B1275" t="s">
        <v>38</v>
      </c>
      <c r="C1275" t="s">
        <v>6</v>
      </c>
      <c r="D1275" t="s">
        <v>79</v>
      </c>
      <c r="E1275">
        <v>0</v>
      </c>
      <c r="F1275" s="1">
        <v>45809</v>
      </c>
    </row>
    <row r="1276" spans="1:6" x14ac:dyDescent="0.3">
      <c r="A1276" t="s">
        <v>24</v>
      </c>
      <c r="B1276" t="s">
        <v>38</v>
      </c>
      <c r="C1276" t="s">
        <v>9</v>
      </c>
      <c r="D1276" t="s">
        <v>79</v>
      </c>
      <c r="E1276">
        <v>25.2</v>
      </c>
      <c r="F1276" s="1">
        <v>45809</v>
      </c>
    </row>
    <row r="1277" spans="1:6" x14ac:dyDescent="0.3">
      <c r="A1277" t="s">
        <v>27</v>
      </c>
      <c r="B1277" t="s">
        <v>38</v>
      </c>
      <c r="C1277" t="s">
        <v>6</v>
      </c>
      <c r="D1277" t="s">
        <v>79</v>
      </c>
      <c r="E1277">
        <v>173.3</v>
      </c>
      <c r="F1277" s="1">
        <v>45809</v>
      </c>
    </row>
    <row r="1278" spans="1:6" x14ac:dyDescent="0.3">
      <c r="A1278" t="s">
        <v>27</v>
      </c>
      <c r="B1278" t="s">
        <v>38</v>
      </c>
      <c r="C1278" t="s">
        <v>9</v>
      </c>
      <c r="D1278" t="s">
        <v>79</v>
      </c>
      <c r="E1278">
        <v>325.7</v>
      </c>
      <c r="F1278" s="1">
        <v>45809</v>
      </c>
    </row>
    <row r="1279" spans="1:6" x14ac:dyDescent="0.3">
      <c r="A1279" t="s">
        <v>27</v>
      </c>
      <c r="B1279" t="s">
        <v>38</v>
      </c>
      <c r="C1279" t="s">
        <v>4</v>
      </c>
      <c r="D1279" t="s">
        <v>79</v>
      </c>
      <c r="E1279">
        <v>152.4</v>
      </c>
      <c r="F1279" s="1">
        <v>45809</v>
      </c>
    </row>
    <row r="1280" spans="1:6" x14ac:dyDescent="0.3">
      <c r="A1280" t="s">
        <v>26</v>
      </c>
      <c r="B1280" t="s">
        <v>38</v>
      </c>
      <c r="C1280" t="s">
        <v>9</v>
      </c>
      <c r="D1280" t="s">
        <v>79</v>
      </c>
      <c r="E1280">
        <v>228.7</v>
      </c>
      <c r="F1280" s="1">
        <v>45809</v>
      </c>
    </row>
    <row r="1281" spans="1:6" x14ac:dyDescent="0.3">
      <c r="A1281" t="s">
        <v>26</v>
      </c>
      <c r="B1281" t="s">
        <v>38</v>
      </c>
      <c r="C1281" t="s">
        <v>6</v>
      </c>
      <c r="D1281" t="s">
        <v>79</v>
      </c>
      <c r="E1281">
        <v>35.200000000000003</v>
      </c>
      <c r="F1281" s="1">
        <v>45809</v>
      </c>
    </row>
    <row r="1282" spans="1:6" x14ac:dyDescent="0.3">
      <c r="A1282" t="s">
        <v>26</v>
      </c>
      <c r="B1282" t="s">
        <v>38</v>
      </c>
      <c r="C1282" t="s">
        <v>4</v>
      </c>
      <c r="D1282" t="s">
        <v>79</v>
      </c>
      <c r="E1282">
        <v>193.5</v>
      </c>
      <c r="F1282" s="1">
        <v>45809</v>
      </c>
    </row>
    <row r="1283" spans="1:6" x14ac:dyDescent="0.3">
      <c r="A1283" t="s">
        <v>25</v>
      </c>
      <c r="B1283" t="s">
        <v>38</v>
      </c>
      <c r="C1283" t="s">
        <v>4</v>
      </c>
      <c r="D1283" t="s">
        <v>79</v>
      </c>
      <c r="E1283">
        <v>4.5</v>
      </c>
      <c r="F1283" s="1">
        <v>45809</v>
      </c>
    </row>
    <row r="1284" spans="1:6" x14ac:dyDescent="0.3">
      <c r="A1284" t="s">
        <v>25</v>
      </c>
      <c r="B1284" t="s">
        <v>38</v>
      </c>
      <c r="C1284" t="s">
        <v>6</v>
      </c>
      <c r="D1284" t="s">
        <v>79</v>
      </c>
      <c r="E1284">
        <v>64.900000000000006</v>
      </c>
      <c r="F1284" s="1">
        <v>45809</v>
      </c>
    </row>
    <row r="1285" spans="1:6" x14ac:dyDescent="0.3">
      <c r="A1285" t="s">
        <v>25</v>
      </c>
      <c r="B1285" t="s">
        <v>38</v>
      </c>
      <c r="C1285" t="s">
        <v>9</v>
      </c>
      <c r="D1285" t="s">
        <v>79</v>
      </c>
      <c r="E1285">
        <v>69.400000000000006</v>
      </c>
      <c r="F1285" s="1">
        <v>45809</v>
      </c>
    </row>
    <row r="1286" spans="1:6" x14ac:dyDescent="0.3">
      <c r="A1286" t="s">
        <v>30</v>
      </c>
      <c r="B1286" t="s">
        <v>38</v>
      </c>
      <c r="C1286" t="s">
        <v>6</v>
      </c>
      <c r="D1286" t="s">
        <v>79</v>
      </c>
      <c r="E1286">
        <v>62.8</v>
      </c>
      <c r="F1286" s="1">
        <v>45809</v>
      </c>
    </row>
    <row r="1287" spans="1:6" x14ac:dyDescent="0.3">
      <c r="A1287" t="s">
        <v>30</v>
      </c>
      <c r="B1287" t="s">
        <v>38</v>
      </c>
      <c r="C1287" t="s">
        <v>9</v>
      </c>
      <c r="D1287" t="s">
        <v>79</v>
      </c>
      <c r="E1287">
        <v>203.7</v>
      </c>
      <c r="F1287" s="1">
        <v>45809</v>
      </c>
    </row>
    <row r="1288" spans="1:6" x14ac:dyDescent="0.3">
      <c r="A1288" t="s">
        <v>30</v>
      </c>
      <c r="B1288" t="s">
        <v>38</v>
      </c>
      <c r="C1288" t="s">
        <v>4</v>
      </c>
      <c r="D1288" t="s">
        <v>79</v>
      </c>
      <c r="E1288">
        <v>140.9</v>
      </c>
      <c r="F1288" s="1">
        <v>45809</v>
      </c>
    </row>
    <row r="1289" spans="1:6" x14ac:dyDescent="0.3">
      <c r="A1289" t="s">
        <v>15</v>
      </c>
      <c r="B1289" t="s">
        <v>38</v>
      </c>
      <c r="C1289" t="s">
        <v>4</v>
      </c>
      <c r="D1289" t="s">
        <v>81</v>
      </c>
      <c r="E1289" s="17">
        <v>11.4</v>
      </c>
      <c r="F1289" s="1">
        <v>46204</v>
      </c>
    </row>
    <row r="1290" spans="1:6" x14ac:dyDescent="0.3">
      <c r="A1290" t="s">
        <v>15</v>
      </c>
      <c r="B1290" t="s">
        <v>38</v>
      </c>
      <c r="C1290" t="s">
        <v>6</v>
      </c>
      <c r="D1290" t="s">
        <v>81</v>
      </c>
      <c r="E1290" s="17">
        <v>96.7</v>
      </c>
      <c r="F1290" s="1">
        <v>46204</v>
      </c>
    </row>
    <row r="1291" spans="1:6" x14ac:dyDescent="0.3">
      <c r="A1291" t="s">
        <v>15</v>
      </c>
      <c r="B1291" t="s">
        <v>38</v>
      </c>
      <c r="C1291" t="s">
        <v>9</v>
      </c>
      <c r="D1291" t="s">
        <v>81</v>
      </c>
      <c r="E1291" s="17">
        <v>108.1</v>
      </c>
      <c r="F1291" s="1">
        <v>46204</v>
      </c>
    </row>
    <row r="1292" spans="1:6" x14ac:dyDescent="0.3">
      <c r="A1292" t="s">
        <v>7</v>
      </c>
      <c r="B1292" t="s">
        <v>38</v>
      </c>
      <c r="C1292" t="s">
        <v>9</v>
      </c>
      <c r="D1292" t="s">
        <v>81</v>
      </c>
      <c r="E1292" s="17">
        <v>141.69999999999999</v>
      </c>
      <c r="F1292" s="1">
        <v>46204</v>
      </c>
    </row>
    <row r="1293" spans="1:6" x14ac:dyDescent="0.3">
      <c r="A1293" t="s">
        <v>7</v>
      </c>
      <c r="B1293" t="s">
        <v>38</v>
      </c>
      <c r="C1293" t="s">
        <v>6</v>
      </c>
      <c r="D1293" t="s">
        <v>81</v>
      </c>
      <c r="E1293" s="17">
        <v>68.2</v>
      </c>
      <c r="F1293" s="1">
        <v>46204</v>
      </c>
    </row>
    <row r="1294" spans="1:6" x14ac:dyDescent="0.3">
      <c r="A1294" t="s">
        <v>7</v>
      </c>
      <c r="B1294" t="s">
        <v>38</v>
      </c>
      <c r="C1294" t="s">
        <v>4</v>
      </c>
      <c r="D1294" t="s">
        <v>81</v>
      </c>
      <c r="E1294" s="17">
        <v>73.5</v>
      </c>
      <c r="F1294" s="1">
        <v>46204</v>
      </c>
    </row>
    <row r="1295" spans="1:6" x14ac:dyDescent="0.3">
      <c r="A1295" t="s">
        <v>10</v>
      </c>
      <c r="B1295" t="s">
        <v>38</v>
      </c>
      <c r="C1295" t="s">
        <v>6</v>
      </c>
      <c r="D1295" t="s">
        <v>81</v>
      </c>
      <c r="E1295" s="17">
        <v>144.6</v>
      </c>
      <c r="F1295" s="1">
        <v>46204</v>
      </c>
    </row>
    <row r="1296" spans="1:6" x14ac:dyDescent="0.3">
      <c r="A1296" t="s">
        <v>10</v>
      </c>
      <c r="B1296" t="s">
        <v>38</v>
      </c>
      <c r="C1296" t="s">
        <v>4</v>
      </c>
      <c r="D1296" t="s">
        <v>81</v>
      </c>
      <c r="E1296" s="17">
        <v>174.2</v>
      </c>
      <c r="F1296" s="1">
        <v>46204</v>
      </c>
    </row>
    <row r="1297" spans="1:6" x14ac:dyDescent="0.3">
      <c r="A1297" t="s">
        <v>10</v>
      </c>
      <c r="B1297" t="s">
        <v>38</v>
      </c>
      <c r="C1297" t="s">
        <v>9</v>
      </c>
      <c r="D1297" t="s">
        <v>81</v>
      </c>
      <c r="E1297" s="17">
        <v>318.8</v>
      </c>
      <c r="F1297" s="1">
        <v>46204</v>
      </c>
    </row>
    <row r="1298" spans="1:6" x14ac:dyDescent="0.3">
      <c r="A1298" t="s">
        <v>5</v>
      </c>
      <c r="B1298" t="s">
        <v>38</v>
      </c>
      <c r="C1298" t="s">
        <v>4</v>
      </c>
      <c r="D1298" t="s">
        <v>81</v>
      </c>
      <c r="E1298" s="17">
        <v>32.5</v>
      </c>
      <c r="F1298" s="1">
        <v>46204</v>
      </c>
    </row>
    <row r="1299" spans="1:6" x14ac:dyDescent="0.3">
      <c r="A1299" t="s">
        <v>5</v>
      </c>
      <c r="B1299" t="s">
        <v>38</v>
      </c>
      <c r="C1299" t="s">
        <v>6</v>
      </c>
      <c r="D1299" t="s">
        <v>81</v>
      </c>
      <c r="E1299" s="17">
        <v>63.4</v>
      </c>
      <c r="F1299" s="1">
        <v>46204</v>
      </c>
    </row>
    <row r="1300" spans="1:6" x14ac:dyDescent="0.3">
      <c r="A1300" t="s">
        <v>5</v>
      </c>
      <c r="B1300" t="s">
        <v>38</v>
      </c>
      <c r="C1300" t="s">
        <v>9</v>
      </c>
      <c r="D1300" t="s">
        <v>81</v>
      </c>
      <c r="E1300" s="17">
        <v>95.9</v>
      </c>
      <c r="F1300" s="1">
        <v>46204</v>
      </c>
    </row>
    <row r="1301" spans="1:6" x14ac:dyDescent="0.3">
      <c r="A1301" t="s">
        <v>3</v>
      </c>
      <c r="B1301" t="s">
        <v>38</v>
      </c>
      <c r="C1301" t="s">
        <v>9</v>
      </c>
      <c r="D1301" t="s">
        <v>81</v>
      </c>
      <c r="E1301" s="17">
        <v>3.5</v>
      </c>
      <c r="F1301" s="1">
        <v>46204</v>
      </c>
    </row>
    <row r="1302" spans="1:6" x14ac:dyDescent="0.3">
      <c r="A1302" t="s">
        <v>3</v>
      </c>
      <c r="B1302" t="s">
        <v>38</v>
      </c>
      <c r="C1302" t="s">
        <v>6</v>
      </c>
      <c r="D1302" t="s">
        <v>81</v>
      </c>
      <c r="E1302" s="17">
        <v>0</v>
      </c>
      <c r="F1302" s="1">
        <v>46204</v>
      </c>
    </row>
    <row r="1303" spans="1:6" x14ac:dyDescent="0.3">
      <c r="A1303" t="s">
        <v>3</v>
      </c>
      <c r="B1303" t="s">
        <v>38</v>
      </c>
      <c r="C1303" t="s">
        <v>4</v>
      </c>
      <c r="D1303" t="s">
        <v>81</v>
      </c>
      <c r="E1303" s="17">
        <v>0</v>
      </c>
      <c r="F1303" s="1">
        <v>46204</v>
      </c>
    </row>
    <row r="1304" spans="1:6" x14ac:dyDescent="0.3">
      <c r="A1304" t="s">
        <v>8</v>
      </c>
      <c r="B1304" t="s">
        <v>38</v>
      </c>
      <c r="C1304" t="s">
        <v>4</v>
      </c>
      <c r="D1304" t="s">
        <v>81</v>
      </c>
      <c r="E1304" s="17">
        <v>99.1</v>
      </c>
      <c r="F1304" s="1">
        <v>46204</v>
      </c>
    </row>
    <row r="1305" spans="1:6" x14ac:dyDescent="0.3">
      <c r="A1305" t="s">
        <v>8</v>
      </c>
      <c r="B1305" t="s">
        <v>38</v>
      </c>
      <c r="C1305" t="s">
        <v>6</v>
      </c>
      <c r="D1305" t="s">
        <v>81</v>
      </c>
      <c r="E1305" s="17">
        <v>92</v>
      </c>
      <c r="F1305" s="1">
        <v>46204</v>
      </c>
    </row>
    <row r="1306" spans="1:6" x14ac:dyDescent="0.3">
      <c r="A1306" t="s">
        <v>8</v>
      </c>
      <c r="B1306" t="s">
        <v>38</v>
      </c>
      <c r="C1306" t="s">
        <v>9</v>
      </c>
      <c r="D1306" t="s">
        <v>81</v>
      </c>
      <c r="E1306" s="17">
        <v>191.1</v>
      </c>
      <c r="F1306" s="1">
        <v>46204</v>
      </c>
    </row>
    <row r="1307" spans="1:6" x14ac:dyDescent="0.3">
      <c r="A1307" t="s">
        <v>13</v>
      </c>
      <c r="B1307" t="s">
        <v>38</v>
      </c>
      <c r="C1307" t="s">
        <v>4</v>
      </c>
      <c r="D1307" t="s">
        <v>81</v>
      </c>
      <c r="E1307" s="17">
        <v>0.7</v>
      </c>
      <c r="F1307" s="1">
        <v>46204</v>
      </c>
    </row>
    <row r="1308" spans="1:6" x14ac:dyDescent="0.3">
      <c r="A1308" t="s">
        <v>13</v>
      </c>
      <c r="B1308" t="s">
        <v>38</v>
      </c>
      <c r="C1308" t="s">
        <v>9</v>
      </c>
      <c r="D1308" t="s">
        <v>81</v>
      </c>
      <c r="E1308" s="17">
        <v>47.3</v>
      </c>
      <c r="F1308" s="1">
        <v>46204</v>
      </c>
    </row>
    <row r="1309" spans="1:6" x14ac:dyDescent="0.3">
      <c r="A1309" t="s">
        <v>13</v>
      </c>
      <c r="B1309" t="s">
        <v>38</v>
      </c>
      <c r="C1309" t="s">
        <v>6</v>
      </c>
      <c r="D1309" t="s">
        <v>81</v>
      </c>
      <c r="E1309" s="17">
        <v>46.6</v>
      </c>
      <c r="F1309" s="1">
        <v>46204</v>
      </c>
    </row>
    <row r="1310" spans="1:6" x14ac:dyDescent="0.3">
      <c r="A1310" t="s">
        <v>14</v>
      </c>
      <c r="B1310" t="s">
        <v>38</v>
      </c>
      <c r="C1310" t="s">
        <v>9</v>
      </c>
      <c r="D1310" t="s">
        <v>81</v>
      </c>
      <c r="E1310" s="17">
        <v>6.8</v>
      </c>
      <c r="F1310" s="1">
        <v>46204</v>
      </c>
    </row>
    <row r="1311" spans="1:6" x14ac:dyDescent="0.3">
      <c r="A1311" t="s">
        <v>14</v>
      </c>
      <c r="B1311" t="s">
        <v>38</v>
      </c>
      <c r="C1311" t="s">
        <v>4</v>
      </c>
      <c r="D1311" t="s">
        <v>81</v>
      </c>
      <c r="E1311" s="17">
        <v>1.3</v>
      </c>
      <c r="F1311" s="1">
        <v>46204</v>
      </c>
    </row>
    <row r="1312" spans="1:6" x14ac:dyDescent="0.3">
      <c r="A1312" t="s">
        <v>14</v>
      </c>
      <c r="B1312" t="s">
        <v>38</v>
      </c>
      <c r="C1312" t="s">
        <v>6</v>
      </c>
      <c r="D1312" t="s">
        <v>81</v>
      </c>
      <c r="E1312" s="17">
        <v>5.5</v>
      </c>
      <c r="F1312" s="1">
        <v>46204</v>
      </c>
    </row>
    <row r="1313" spans="1:6" x14ac:dyDescent="0.3">
      <c r="A1313" t="s">
        <v>12</v>
      </c>
      <c r="B1313" t="s">
        <v>38</v>
      </c>
      <c r="C1313" t="s">
        <v>9</v>
      </c>
      <c r="D1313" t="s">
        <v>81</v>
      </c>
      <c r="E1313" s="17">
        <v>198.4</v>
      </c>
      <c r="F1313" s="1">
        <v>46204</v>
      </c>
    </row>
    <row r="1314" spans="1:6" x14ac:dyDescent="0.3">
      <c r="A1314" t="s">
        <v>12</v>
      </c>
      <c r="B1314" t="s">
        <v>38</v>
      </c>
      <c r="C1314" t="s">
        <v>4</v>
      </c>
      <c r="D1314" t="s">
        <v>81</v>
      </c>
      <c r="E1314" s="17">
        <v>167.5</v>
      </c>
      <c r="F1314" s="1">
        <v>46204</v>
      </c>
    </row>
    <row r="1315" spans="1:6" x14ac:dyDescent="0.3">
      <c r="A1315" t="s">
        <v>12</v>
      </c>
      <c r="B1315" t="s">
        <v>38</v>
      </c>
      <c r="C1315" t="s">
        <v>6</v>
      </c>
      <c r="D1315" t="s">
        <v>81</v>
      </c>
      <c r="E1315" s="17">
        <v>30.9</v>
      </c>
      <c r="F1315" s="1">
        <v>46204</v>
      </c>
    </row>
    <row r="1316" spans="1:6" x14ac:dyDescent="0.3">
      <c r="A1316" t="s">
        <v>16</v>
      </c>
      <c r="B1316" t="s">
        <v>38</v>
      </c>
      <c r="C1316" t="s">
        <v>6</v>
      </c>
      <c r="D1316" t="s">
        <v>81</v>
      </c>
      <c r="E1316" s="17">
        <v>86.9</v>
      </c>
      <c r="F1316" s="1">
        <v>46204</v>
      </c>
    </row>
    <row r="1317" spans="1:6" x14ac:dyDescent="0.3">
      <c r="A1317" t="s">
        <v>16</v>
      </c>
      <c r="B1317" t="s">
        <v>38</v>
      </c>
      <c r="C1317" t="s">
        <v>4</v>
      </c>
      <c r="D1317" t="s">
        <v>81</v>
      </c>
      <c r="E1317" s="17">
        <v>46.8</v>
      </c>
      <c r="F1317" s="1">
        <v>46204</v>
      </c>
    </row>
    <row r="1318" spans="1:6" x14ac:dyDescent="0.3">
      <c r="A1318" t="s">
        <v>16</v>
      </c>
      <c r="B1318" t="s">
        <v>38</v>
      </c>
      <c r="C1318" t="s">
        <v>9</v>
      </c>
      <c r="D1318" t="s">
        <v>81</v>
      </c>
      <c r="E1318" s="17">
        <v>133.69999999999999</v>
      </c>
      <c r="F1318" s="1">
        <v>46204</v>
      </c>
    </row>
    <row r="1319" spans="1:6" x14ac:dyDescent="0.3">
      <c r="A1319" t="s">
        <v>17</v>
      </c>
      <c r="B1319" t="s">
        <v>38</v>
      </c>
      <c r="C1319" t="s">
        <v>9</v>
      </c>
      <c r="D1319" t="s">
        <v>81</v>
      </c>
      <c r="E1319" s="17">
        <v>0</v>
      </c>
      <c r="F1319" s="1">
        <v>46204</v>
      </c>
    </row>
    <row r="1320" spans="1:6" x14ac:dyDescent="0.3">
      <c r="A1320" t="s">
        <v>17</v>
      </c>
      <c r="B1320" t="s">
        <v>38</v>
      </c>
      <c r="C1320" t="s">
        <v>4</v>
      </c>
      <c r="D1320" t="s">
        <v>81</v>
      </c>
      <c r="E1320" s="17">
        <v>0</v>
      </c>
      <c r="F1320" s="1">
        <v>46204</v>
      </c>
    </row>
    <row r="1321" spans="1:6" x14ac:dyDescent="0.3">
      <c r="A1321" t="s">
        <v>17</v>
      </c>
      <c r="B1321" t="s">
        <v>38</v>
      </c>
      <c r="C1321" t="s">
        <v>6</v>
      </c>
      <c r="D1321" t="s">
        <v>81</v>
      </c>
      <c r="E1321" s="17">
        <v>0</v>
      </c>
      <c r="F1321" s="1">
        <v>46204</v>
      </c>
    </row>
    <row r="1322" spans="1:6" x14ac:dyDescent="0.3">
      <c r="A1322" t="s">
        <v>21</v>
      </c>
      <c r="B1322" t="s">
        <v>38</v>
      </c>
      <c r="C1322" t="s">
        <v>4</v>
      </c>
      <c r="D1322" t="s">
        <v>81</v>
      </c>
      <c r="E1322" s="17">
        <v>22.6</v>
      </c>
      <c r="F1322" s="1">
        <v>46204</v>
      </c>
    </row>
    <row r="1323" spans="1:6" x14ac:dyDescent="0.3">
      <c r="A1323" t="s">
        <v>21</v>
      </c>
      <c r="B1323" t="s">
        <v>38</v>
      </c>
      <c r="C1323" t="s">
        <v>9</v>
      </c>
      <c r="D1323" t="s">
        <v>81</v>
      </c>
      <c r="E1323" s="17">
        <v>121.6</v>
      </c>
      <c r="F1323" s="1">
        <v>46204</v>
      </c>
    </row>
    <row r="1324" spans="1:6" x14ac:dyDescent="0.3">
      <c r="A1324" t="s">
        <v>21</v>
      </c>
      <c r="B1324" t="s">
        <v>38</v>
      </c>
      <c r="C1324" t="s">
        <v>6</v>
      </c>
      <c r="D1324" t="s">
        <v>81</v>
      </c>
      <c r="E1324" s="17">
        <v>99</v>
      </c>
      <c r="F1324" s="1">
        <v>46204</v>
      </c>
    </row>
    <row r="1325" spans="1:6" x14ac:dyDescent="0.3">
      <c r="A1325" t="s">
        <v>19</v>
      </c>
      <c r="B1325" t="s">
        <v>38</v>
      </c>
      <c r="C1325" t="s">
        <v>4</v>
      </c>
      <c r="D1325" t="s">
        <v>81</v>
      </c>
      <c r="E1325" s="17">
        <v>44.6</v>
      </c>
      <c r="F1325" s="1">
        <v>46204</v>
      </c>
    </row>
    <row r="1326" spans="1:6" x14ac:dyDescent="0.3">
      <c r="A1326" t="s">
        <v>19</v>
      </c>
      <c r="B1326" t="s">
        <v>38</v>
      </c>
      <c r="C1326" t="s">
        <v>6</v>
      </c>
      <c r="D1326" t="s">
        <v>81</v>
      </c>
      <c r="E1326" s="17">
        <v>64.099999999999994</v>
      </c>
      <c r="F1326" s="1">
        <v>46204</v>
      </c>
    </row>
    <row r="1327" spans="1:6" x14ac:dyDescent="0.3">
      <c r="A1327" t="s">
        <v>19</v>
      </c>
      <c r="B1327" t="s">
        <v>38</v>
      </c>
      <c r="C1327" t="s">
        <v>9</v>
      </c>
      <c r="D1327" t="s">
        <v>81</v>
      </c>
      <c r="E1327" s="17">
        <v>108.7</v>
      </c>
      <c r="F1327" s="1">
        <v>46204</v>
      </c>
    </row>
    <row r="1328" spans="1:6" x14ac:dyDescent="0.3">
      <c r="A1328" t="s">
        <v>20</v>
      </c>
      <c r="B1328" t="s">
        <v>38</v>
      </c>
      <c r="C1328" t="s">
        <v>4</v>
      </c>
      <c r="D1328" t="s">
        <v>81</v>
      </c>
      <c r="E1328" s="17">
        <v>12.2</v>
      </c>
      <c r="F1328" s="1">
        <v>46204</v>
      </c>
    </row>
    <row r="1329" spans="1:6" x14ac:dyDescent="0.3">
      <c r="A1329" t="s">
        <v>20</v>
      </c>
      <c r="B1329" t="s">
        <v>38</v>
      </c>
      <c r="C1329" t="s">
        <v>9</v>
      </c>
      <c r="D1329" t="s">
        <v>81</v>
      </c>
      <c r="E1329" s="17">
        <v>154.80000000000001</v>
      </c>
      <c r="F1329" s="1">
        <v>46204</v>
      </c>
    </row>
    <row r="1330" spans="1:6" x14ac:dyDescent="0.3">
      <c r="A1330" t="s">
        <v>20</v>
      </c>
      <c r="B1330" t="s">
        <v>38</v>
      </c>
      <c r="C1330" t="s">
        <v>6</v>
      </c>
      <c r="D1330" t="s">
        <v>81</v>
      </c>
      <c r="E1330" s="17">
        <v>142.6</v>
      </c>
      <c r="F1330" s="1">
        <v>46204</v>
      </c>
    </row>
    <row r="1331" spans="1:6" x14ac:dyDescent="0.3">
      <c r="A1331" t="s">
        <v>18</v>
      </c>
      <c r="B1331" t="s">
        <v>38</v>
      </c>
      <c r="C1331" t="s">
        <v>6</v>
      </c>
      <c r="D1331" t="s">
        <v>81</v>
      </c>
      <c r="E1331" s="17">
        <v>89.2</v>
      </c>
      <c r="F1331" s="1">
        <v>46204</v>
      </c>
    </row>
    <row r="1332" spans="1:6" x14ac:dyDescent="0.3">
      <c r="A1332" t="s">
        <v>18</v>
      </c>
      <c r="B1332" t="s">
        <v>38</v>
      </c>
      <c r="C1332" t="s">
        <v>9</v>
      </c>
      <c r="D1332" t="s">
        <v>81</v>
      </c>
      <c r="E1332" s="17">
        <v>366.9</v>
      </c>
      <c r="F1332" s="1">
        <v>46204</v>
      </c>
    </row>
    <row r="1333" spans="1:6" x14ac:dyDescent="0.3">
      <c r="A1333" t="s">
        <v>18</v>
      </c>
      <c r="B1333" t="s">
        <v>38</v>
      </c>
      <c r="C1333" t="s">
        <v>4</v>
      </c>
      <c r="D1333" t="s">
        <v>81</v>
      </c>
      <c r="E1333" s="17">
        <v>277.7</v>
      </c>
      <c r="F1333" s="1">
        <v>46204</v>
      </c>
    </row>
    <row r="1334" spans="1:6" x14ac:dyDescent="0.3">
      <c r="A1334" t="s">
        <v>23</v>
      </c>
      <c r="B1334" t="s">
        <v>38</v>
      </c>
      <c r="C1334" t="s">
        <v>9</v>
      </c>
      <c r="D1334" t="s">
        <v>81</v>
      </c>
      <c r="E1334" s="17">
        <v>133.4</v>
      </c>
      <c r="F1334" s="1">
        <v>46204</v>
      </c>
    </row>
    <row r="1335" spans="1:6" x14ac:dyDescent="0.3">
      <c r="A1335" t="s">
        <v>23</v>
      </c>
      <c r="B1335" t="s">
        <v>38</v>
      </c>
      <c r="C1335" t="s">
        <v>4</v>
      </c>
      <c r="D1335" t="s">
        <v>81</v>
      </c>
      <c r="E1335" s="17">
        <v>47.4</v>
      </c>
      <c r="F1335" s="1">
        <v>46204</v>
      </c>
    </row>
    <row r="1336" spans="1:6" x14ac:dyDescent="0.3">
      <c r="A1336" t="s">
        <v>23</v>
      </c>
      <c r="B1336" t="s">
        <v>38</v>
      </c>
      <c r="C1336" t="s">
        <v>6</v>
      </c>
      <c r="D1336" t="s">
        <v>81</v>
      </c>
      <c r="E1336" s="17">
        <v>86</v>
      </c>
      <c r="F1336" s="1">
        <v>46204</v>
      </c>
    </row>
    <row r="1337" spans="1:6" x14ac:dyDescent="0.3">
      <c r="A1337" t="s">
        <v>22</v>
      </c>
      <c r="B1337" t="s">
        <v>38</v>
      </c>
      <c r="C1337" t="s">
        <v>4</v>
      </c>
      <c r="D1337" t="s">
        <v>81</v>
      </c>
      <c r="E1337" s="17">
        <v>79.8</v>
      </c>
      <c r="F1337" s="1">
        <v>46204</v>
      </c>
    </row>
    <row r="1338" spans="1:6" x14ac:dyDescent="0.3">
      <c r="A1338" t="s">
        <v>22</v>
      </c>
      <c r="B1338" t="s">
        <v>38</v>
      </c>
      <c r="C1338" t="s">
        <v>9</v>
      </c>
      <c r="D1338" t="s">
        <v>81</v>
      </c>
      <c r="E1338" s="17">
        <v>117.4</v>
      </c>
      <c r="F1338" s="1">
        <v>46204</v>
      </c>
    </row>
    <row r="1339" spans="1:6" x14ac:dyDescent="0.3">
      <c r="A1339" t="s">
        <v>22</v>
      </c>
      <c r="B1339" t="s">
        <v>38</v>
      </c>
      <c r="C1339" t="s">
        <v>6</v>
      </c>
      <c r="D1339" t="s">
        <v>81</v>
      </c>
      <c r="E1339" s="17">
        <v>37.6</v>
      </c>
      <c r="F1339" s="1">
        <v>46204</v>
      </c>
    </row>
    <row r="1340" spans="1:6" x14ac:dyDescent="0.3">
      <c r="A1340" t="s">
        <v>28</v>
      </c>
      <c r="B1340" t="s">
        <v>38</v>
      </c>
      <c r="C1340" t="s">
        <v>9</v>
      </c>
      <c r="D1340" t="s">
        <v>81</v>
      </c>
      <c r="E1340" s="17">
        <v>226.9</v>
      </c>
      <c r="F1340" s="1">
        <v>46204</v>
      </c>
    </row>
    <row r="1341" spans="1:6" x14ac:dyDescent="0.3">
      <c r="A1341" t="s">
        <v>28</v>
      </c>
      <c r="B1341" t="s">
        <v>38</v>
      </c>
      <c r="C1341" t="s">
        <v>4</v>
      </c>
      <c r="D1341" t="s">
        <v>81</v>
      </c>
      <c r="E1341" s="17">
        <v>138.6</v>
      </c>
      <c r="F1341" s="1">
        <v>46204</v>
      </c>
    </row>
    <row r="1342" spans="1:6" x14ac:dyDescent="0.3">
      <c r="A1342" t="s">
        <v>28</v>
      </c>
      <c r="B1342" t="s">
        <v>38</v>
      </c>
      <c r="C1342" t="s">
        <v>6</v>
      </c>
      <c r="D1342" t="s">
        <v>81</v>
      </c>
      <c r="E1342" s="17">
        <v>88.3</v>
      </c>
      <c r="F1342" s="1">
        <v>46204</v>
      </c>
    </row>
    <row r="1343" spans="1:6" x14ac:dyDescent="0.3">
      <c r="A1343" t="s">
        <v>11</v>
      </c>
      <c r="B1343" t="s">
        <v>38</v>
      </c>
      <c r="C1343" t="s">
        <v>6</v>
      </c>
      <c r="D1343" t="s">
        <v>81</v>
      </c>
      <c r="E1343" s="17">
        <v>1623.8</v>
      </c>
      <c r="F1343" s="1">
        <v>46204</v>
      </c>
    </row>
    <row r="1344" spans="1:6" x14ac:dyDescent="0.3">
      <c r="A1344" t="s">
        <v>11</v>
      </c>
      <c r="B1344" t="s">
        <v>38</v>
      </c>
      <c r="C1344" t="s">
        <v>4</v>
      </c>
      <c r="D1344" t="s">
        <v>81</v>
      </c>
      <c r="E1344" s="17">
        <v>1935.1</v>
      </c>
      <c r="F1344" s="1">
        <v>46204</v>
      </c>
    </row>
    <row r="1345" spans="1:6" x14ac:dyDescent="0.3">
      <c r="A1345" t="s">
        <v>11</v>
      </c>
      <c r="B1345" t="s">
        <v>38</v>
      </c>
      <c r="C1345" t="s">
        <v>9</v>
      </c>
      <c r="D1345" t="s">
        <v>81</v>
      </c>
      <c r="E1345" s="17">
        <v>3558.9</v>
      </c>
      <c r="F1345" s="1">
        <v>46204</v>
      </c>
    </row>
    <row r="1346" spans="1:6" x14ac:dyDescent="0.3">
      <c r="A1346" t="s">
        <v>29</v>
      </c>
      <c r="B1346" t="s">
        <v>38</v>
      </c>
      <c r="C1346" t="s">
        <v>9</v>
      </c>
      <c r="D1346" t="s">
        <v>81</v>
      </c>
      <c r="E1346" s="17">
        <v>137.4</v>
      </c>
      <c r="F1346" s="1">
        <v>46204</v>
      </c>
    </row>
    <row r="1347" spans="1:6" x14ac:dyDescent="0.3">
      <c r="A1347" t="s">
        <v>29</v>
      </c>
      <c r="B1347" t="s">
        <v>38</v>
      </c>
      <c r="C1347" t="s">
        <v>6</v>
      </c>
      <c r="D1347" t="s">
        <v>81</v>
      </c>
      <c r="E1347" s="17">
        <v>38.299999999999997</v>
      </c>
      <c r="F1347" s="1">
        <v>46204</v>
      </c>
    </row>
    <row r="1348" spans="1:6" x14ac:dyDescent="0.3">
      <c r="A1348" t="s">
        <v>29</v>
      </c>
      <c r="B1348" t="s">
        <v>38</v>
      </c>
      <c r="C1348" t="s">
        <v>4</v>
      </c>
      <c r="D1348" t="s">
        <v>81</v>
      </c>
      <c r="E1348" s="17">
        <v>99.1</v>
      </c>
      <c r="F1348" s="1">
        <v>46204</v>
      </c>
    </row>
    <row r="1349" spans="1:6" x14ac:dyDescent="0.3">
      <c r="A1349" t="s">
        <v>24</v>
      </c>
      <c r="B1349" t="s">
        <v>38</v>
      </c>
      <c r="C1349" t="s">
        <v>4</v>
      </c>
      <c r="D1349" t="s">
        <v>81</v>
      </c>
      <c r="E1349" s="17">
        <v>0</v>
      </c>
      <c r="F1349" s="1">
        <v>46204</v>
      </c>
    </row>
    <row r="1350" spans="1:6" x14ac:dyDescent="0.3">
      <c r="A1350" t="s">
        <v>24</v>
      </c>
      <c r="B1350" t="s">
        <v>38</v>
      </c>
      <c r="C1350" t="s">
        <v>6</v>
      </c>
      <c r="D1350" t="s">
        <v>81</v>
      </c>
      <c r="E1350" s="17">
        <v>0</v>
      </c>
      <c r="F1350" s="1">
        <v>46204</v>
      </c>
    </row>
    <row r="1351" spans="1:6" x14ac:dyDescent="0.3">
      <c r="A1351" t="s">
        <v>24</v>
      </c>
      <c r="B1351" t="s">
        <v>38</v>
      </c>
      <c r="C1351" t="s">
        <v>9</v>
      </c>
      <c r="D1351" t="s">
        <v>81</v>
      </c>
      <c r="E1351" s="17">
        <v>24.1</v>
      </c>
      <c r="F1351" s="1">
        <v>46204</v>
      </c>
    </row>
    <row r="1352" spans="1:6" x14ac:dyDescent="0.3">
      <c r="A1352" t="s">
        <v>27</v>
      </c>
      <c r="B1352" t="s">
        <v>38</v>
      </c>
      <c r="C1352" t="s">
        <v>6</v>
      </c>
      <c r="D1352" t="s">
        <v>81</v>
      </c>
      <c r="E1352" s="17">
        <v>156.4</v>
      </c>
      <c r="F1352" s="1">
        <v>46204</v>
      </c>
    </row>
    <row r="1353" spans="1:6" x14ac:dyDescent="0.3">
      <c r="A1353" t="s">
        <v>27</v>
      </c>
      <c r="B1353" t="s">
        <v>38</v>
      </c>
      <c r="C1353" t="s">
        <v>9</v>
      </c>
      <c r="D1353" t="s">
        <v>81</v>
      </c>
      <c r="E1353" s="17">
        <v>340.1</v>
      </c>
      <c r="F1353" s="1">
        <v>46204</v>
      </c>
    </row>
    <row r="1354" spans="1:6" x14ac:dyDescent="0.3">
      <c r="A1354" t="s">
        <v>27</v>
      </c>
      <c r="B1354" t="s">
        <v>38</v>
      </c>
      <c r="C1354" t="s">
        <v>4</v>
      </c>
      <c r="D1354" t="s">
        <v>81</v>
      </c>
      <c r="E1354" s="17">
        <v>183.7</v>
      </c>
      <c r="F1354" s="1">
        <v>46204</v>
      </c>
    </row>
    <row r="1355" spans="1:6" x14ac:dyDescent="0.3">
      <c r="A1355" t="s">
        <v>26</v>
      </c>
      <c r="B1355" t="s">
        <v>38</v>
      </c>
      <c r="C1355" t="s">
        <v>9</v>
      </c>
      <c r="D1355" t="s">
        <v>81</v>
      </c>
      <c r="E1355" s="17">
        <v>271.60000000000002</v>
      </c>
      <c r="F1355" s="1">
        <v>46204</v>
      </c>
    </row>
    <row r="1356" spans="1:6" x14ac:dyDescent="0.3">
      <c r="A1356" t="s">
        <v>26</v>
      </c>
      <c r="B1356" t="s">
        <v>38</v>
      </c>
      <c r="C1356" t="s">
        <v>6</v>
      </c>
      <c r="D1356" t="s">
        <v>81</v>
      </c>
      <c r="E1356" s="17">
        <v>36.700000000000003</v>
      </c>
      <c r="F1356" s="1">
        <v>46204</v>
      </c>
    </row>
    <row r="1357" spans="1:6" x14ac:dyDescent="0.3">
      <c r="A1357" t="s">
        <v>26</v>
      </c>
      <c r="B1357" t="s">
        <v>38</v>
      </c>
      <c r="C1357" t="s">
        <v>4</v>
      </c>
      <c r="D1357" t="s">
        <v>81</v>
      </c>
      <c r="E1357" s="17">
        <v>234.9</v>
      </c>
      <c r="F1357" s="1">
        <v>46204</v>
      </c>
    </row>
    <row r="1358" spans="1:6" x14ac:dyDescent="0.3">
      <c r="A1358" t="s">
        <v>25</v>
      </c>
      <c r="B1358" t="s">
        <v>38</v>
      </c>
      <c r="C1358" t="s">
        <v>4</v>
      </c>
      <c r="D1358" t="s">
        <v>81</v>
      </c>
      <c r="E1358" s="17">
        <v>4.0999999999999996</v>
      </c>
      <c r="F1358" s="1">
        <v>46204</v>
      </c>
    </row>
    <row r="1359" spans="1:6" x14ac:dyDescent="0.3">
      <c r="A1359" t="s">
        <v>25</v>
      </c>
      <c r="B1359" t="s">
        <v>38</v>
      </c>
      <c r="C1359" t="s">
        <v>6</v>
      </c>
      <c r="D1359" t="s">
        <v>81</v>
      </c>
      <c r="E1359" s="17">
        <v>53.7</v>
      </c>
      <c r="F1359" s="1">
        <v>46204</v>
      </c>
    </row>
    <row r="1360" spans="1:6" x14ac:dyDescent="0.3">
      <c r="A1360" t="s">
        <v>25</v>
      </c>
      <c r="B1360" t="s">
        <v>38</v>
      </c>
      <c r="C1360" t="s">
        <v>9</v>
      </c>
      <c r="D1360" t="s">
        <v>81</v>
      </c>
      <c r="E1360" s="17">
        <v>57.8</v>
      </c>
      <c r="F1360" s="1">
        <v>46204</v>
      </c>
    </row>
    <row r="1361" spans="1:6" x14ac:dyDescent="0.3">
      <c r="A1361" t="s">
        <v>30</v>
      </c>
      <c r="B1361" t="s">
        <v>38</v>
      </c>
      <c r="C1361" t="s">
        <v>6</v>
      </c>
      <c r="D1361" t="s">
        <v>81</v>
      </c>
      <c r="E1361" s="17">
        <v>70.2</v>
      </c>
      <c r="F1361" s="1">
        <v>46204</v>
      </c>
    </row>
    <row r="1362" spans="1:6" x14ac:dyDescent="0.3">
      <c r="A1362" t="s">
        <v>30</v>
      </c>
      <c r="B1362" t="s">
        <v>38</v>
      </c>
      <c r="C1362" t="s">
        <v>9</v>
      </c>
      <c r="D1362" t="s">
        <v>81</v>
      </c>
      <c r="E1362" s="17">
        <v>252.9</v>
      </c>
      <c r="F1362" s="1">
        <v>46204</v>
      </c>
    </row>
    <row r="1363" spans="1:6" x14ac:dyDescent="0.3">
      <c r="A1363" t="s">
        <v>30</v>
      </c>
      <c r="B1363" t="s">
        <v>38</v>
      </c>
      <c r="C1363" t="s">
        <v>4</v>
      </c>
      <c r="D1363" t="s">
        <v>81</v>
      </c>
      <c r="E1363" s="17">
        <v>182.7</v>
      </c>
      <c r="F1363" s="1">
        <v>46204</v>
      </c>
    </row>
    <row r="1364" spans="1:6" x14ac:dyDescent="0.3">
      <c r="A1364" t="s">
        <v>15</v>
      </c>
      <c r="B1364" t="s">
        <v>38</v>
      </c>
      <c r="C1364" t="s">
        <v>4</v>
      </c>
      <c r="D1364" t="s">
        <v>82</v>
      </c>
      <c r="E1364" s="17">
        <v>9.9</v>
      </c>
      <c r="F1364" s="1">
        <v>45839</v>
      </c>
    </row>
    <row r="1365" spans="1:6" x14ac:dyDescent="0.3">
      <c r="A1365" t="s">
        <v>15</v>
      </c>
      <c r="B1365" t="s">
        <v>38</v>
      </c>
      <c r="C1365" t="s">
        <v>6</v>
      </c>
      <c r="D1365" t="s">
        <v>82</v>
      </c>
      <c r="E1365" s="17">
        <v>125.7</v>
      </c>
      <c r="F1365" s="1">
        <v>45839</v>
      </c>
    </row>
    <row r="1366" spans="1:6" x14ac:dyDescent="0.3">
      <c r="A1366" t="s">
        <v>15</v>
      </c>
      <c r="B1366" t="s">
        <v>38</v>
      </c>
      <c r="C1366" t="s">
        <v>9</v>
      </c>
      <c r="D1366" t="s">
        <v>82</v>
      </c>
      <c r="E1366" s="17">
        <v>135.6</v>
      </c>
      <c r="F1366" s="1">
        <v>45839</v>
      </c>
    </row>
    <row r="1367" spans="1:6" x14ac:dyDescent="0.3">
      <c r="A1367" t="s">
        <v>7</v>
      </c>
      <c r="B1367" t="s">
        <v>38</v>
      </c>
      <c r="C1367" t="s">
        <v>9</v>
      </c>
      <c r="D1367" t="s">
        <v>82</v>
      </c>
      <c r="E1367" s="17">
        <v>163.4</v>
      </c>
      <c r="F1367" s="1">
        <v>45839</v>
      </c>
    </row>
    <row r="1368" spans="1:6" x14ac:dyDescent="0.3">
      <c r="A1368" t="s">
        <v>7</v>
      </c>
      <c r="B1368" t="s">
        <v>38</v>
      </c>
      <c r="C1368" t="s">
        <v>6</v>
      </c>
      <c r="D1368" t="s">
        <v>82</v>
      </c>
      <c r="E1368" s="17">
        <v>91.8</v>
      </c>
      <c r="F1368" s="1">
        <v>45839</v>
      </c>
    </row>
    <row r="1369" spans="1:6" x14ac:dyDescent="0.3">
      <c r="A1369" t="s">
        <v>7</v>
      </c>
      <c r="B1369" t="s">
        <v>38</v>
      </c>
      <c r="C1369" t="s">
        <v>4</v>
      </c>
      <c r="D1369" t="s">
        <v>82</v>
      </c>
      <c r="E1369" s="17">
        <v>71.599999999999994</v>
      </c>
      <c r="F1369" s="1">
        <v>45839</v>
      </c>
    </row>
    <row r="1370" spans="1:6" x14ac:dyDescent="0.3">
      <c r="A1370" t="s">
        <v>10</v>
      </c>
      <c r="B1370" t="s">
        <v>38</v>
      </c>
      <c r="C1370" t="s">
        <v>6</v>
      </c>
      <c r="D1370" t="s">
        <v>82</v>
      </c>
      <c r="E1370" s="17">
        <v>165.3</v>
      </c>
      <c r="F1370" s="1">
        <v>45839</v>
      </c>
    </row>
    <row r="1371" spans="1:6" x14ac:dyDescent="0.3">
      <c r="A1371" t="s">
        <v>10</v>
      </c>
      <c r="B1371" t="s">
        <v>38</v>
      </c>
      <c r="C1371" t="s">
        <v>4</v>
      </c>
      <c r="D1371" t="s">
        <v>82</v>
      </c>
      <c r="E1371" s="17">
        <v>163.80000000000001</v>
      </c>
      <c r="F1371" s="1">
        <v>45839</v>
      </c>
    </row>
    <row r="1372" spans="1:6" x14ac:dyDescent="0.3">
      <c r="A1372" t="s">
        <v>10</v>
      </c>
      <c r="B1372" t="s">
        <v>38</v>
      </c>
      <c r="C1372" t="s">
        <v>9</v>
      </c>
      <c r="D1372" t="s">
        <v>82</v>
      </c>
      <c r="E1372" s="17">
        <v>329.1</v>
      </c>
      <c r="F1372" s="1">
        <v>45839</v>
      </c>
    </row>
    <row r="1373" spans="1:6" x14ac:dyDescent="0.3">
      <c r="A1373" t="s">
        <v>5</v>
      </c>
      <c r="B1373" t="s">
        <v>38</v>
      </c>
      <c r="C1373" t="s">
        <v>4</v>
      </c>
      <c r="D1373" t="s">
        <v>82</v>
      </c>
      <c r="E1373" s="17">
        <v>37.700000000000003</v>
      </c>
      <c r="F1373" s="1">
        <v>45839</v>
      </c>
    </row>
    <row r="1374" spans="1:6" x14ac:dyDescent="0.3">
      <c r="A1374" t="s">
        <v>5</v>
      </c>
      <c r="B1374" t="s">
        <v>38</v>
      </c>
      <c r="C1374" t="s">
        <v>6</v>
      </c>
      <c r="D1374" t="s">
        <v>82</v>
      </c>
      <c r="E1374" s="17">
        <v>74.900000000000006</v>
      </c>
      <c r="F1374" s="1">
        <v>45839</v>
      </c>
    </row>
    <row r="1375" spans="1:6" x14ac:dyDescent="0.3">
      <c r="A1375" t="s">
        <v>5</v>
      </c>
      <c r="B1375" t="s">
        <v>38</v>
      </c>
      <c r="C1375" t="s">
        <v>9</v>
      </c>
      <c r="D1375" t="s">
        <v>82</v>
      </c>
      <c r="E1375" s="17">
        <v>112.6</v>
      </c>
      <c r="F1375" s="1">
        <v>45839</v>
      </c>
    </row>
    <row r="1376" spans="1:6" x14ac:dyDescent="0.3">
      <c r="A1376" t="s">
        <v>3</v>
      </c>
      <c r="B1376" t="s">
        <v>38</v>
      </c>
      <c r="C1376" t="s">
        <v>9</v>
      </c>
      <c r="D1376" t="s">
        <v>82</v>
      </c>
      <c r="E1376" s="17">
        <v>10.199999999999999</v>
      </c>
      <c r="F1376" s="1">
        <v>45839</v>
      </c>
    </row>
    <row r="1377" spans="1:6" x14ac:dyDescent="0.3">
      <c r="A1377" t="s">
        <v>3</v>
      </c>
      <c r="B1377" t="s">
        <v>38</v>
      </c>
      <c r="C1377" t="s">
        <v>6</v>
      </c>
      <c r="D1377" t="s">
        <v>82</v>
      </c>
      <c r="E1377" s="17">
        <v>0</v>
      </c>
      <c r="F1377" s="1">
        <v>45839</v>
      </c>
    </row>
    <row r="1378" spans="1:6" x14ac:dyDescent="0.3">
      <c r="A1378" t="s">
        <v>3</v>
      </c>
      <c r="B1378" t="s">
        <v>38</v>
      </c>
      <c r="C1378" t="s">
        <v>4</v>
      </c>
      <c r="D1378" t="s">
        <v>82</v>
      </c>
      <c r="E1378" s="17">
        <v>0</v>
      </c>
      <c r="F1378" s="1">
        <v>45839</v>
      </c>
    </row>
    <row r="1379" spans="1:6" x14ac:dyDescent="0.3">
      <c r="A1379" t="s">
        <v>8</v>
      </c>
      <c r="B1379" t="s">
        <v>38</v>
      </c>
      <c r="C1379" t="s">
        <v>4</v>
      </c>
      <c r="D1379" t="s">
        <v>82</v>
      </c>
      <c r="E1379" s="17">
        <v>88</v>
      </c>
      <c r="F1379" s="1">
        <v>45839</v>
      </c>
    </row>
    <row r="1380" spans="1:6" x14ac:dyDescent="0.3">
      <c r="A1380" t="s">
        <v>8</v>
      </c>
      <c r="B1380" t="s">
        <v>38</v>
      </c>
      <c r="C1380" t="s">
        <v>6</v>
      </c>
      <c r="D1380" t="s">
        <v>82</v>
      </c>
      <c r="E1380" s="17">
        <v>148.5</v>
      </c>
      <c r="F1380" s="1">
        <v>45839</v>
      </c>
    </row>
    <row r="1381" spans="1:6" x14ac:dyDescent="0.3">
      <c r="A1381" t="s">
        <v>8</v>
      </c>
      <c r="B1381" t="s">
        <v>38</v>
      </c>
      <c r="C1381" t="s">
        <v>9</v>
      </c>
      <c r="D1381" t="s">
        <v>82</v>
      </c>
      <c r="E1381" s="17">
        <v>236.5</v>
      </c>
      <c r="F1381" s="1">
        <v>45839</v>
      </c>
    </row>
    <row r="1382" spans="1:6" x14ac:dyDescent="0.3">
      <c r="A1382" t="s">
        <v>13</v>
      </c>
      <c r="B1382" t="s">
        <v>38</v>
      </c>
      <c r="C1382" t="s">
        <v>4</v>
      </c>
      <c r="D1382" t="s">
        <v>82</v>
      </c>
      <c r="E1382" s="17">
        <v>0.7</v>
      </c>
      <c r="F1382" s="1">
        <v>45839</v>
      </c>
    </row>
    <row r="1383" spans="1:6" x14ac:dyDescent="0.3">
      <c r="A1383" t="s">
        <v>13</v>
      </c>
      <c r="B1383" t="s">
        <v>38</v>
      </c>
      <c r="C1383" t="s">
        <v>9</v>
      </c>
      <c r="D1383" t="s">
        <v>82</v>
      </c>
      <c r="E1383" s="17">
        <v>145.5</v>
      </c>
      <c r="F1383" s="1">
        <v>45839</v>
      </c>
    </row>
    <row r="1384" spans="1:6" x14ac:dyDescent="0.3">
      <c r="A1384" t="s">
        <v>13</v>
      </c>
      <c r="B1384" t="s">
        <v>38</v>
      </c>
      <c r="C1384" t="s">
        <v>6</v>
      </c>
      <c r="D1384" t="s">
        <v>82</v>
      </c>
      <c r="E1384" s="17">
        <v>144.80000000000001</v>
      </c>
      <c r="F1384" s="1">
        <v>45839</v>
      </c>
    </row>
    <row r="1385" spans="1:6" x14ac:dyDescent="0.3">
      <c r="A1385" t="s">
        <v>14</v>
      </c>
      <c r="B1385" t="s">
        <v>38</v>
      </c>
      <c r="C1385" t="s">
        <v>9</v>
      </c>
      <c r="D1385" t="s">
        <v>82</v>
      </c>
      <c r="E1385" s="17">
        <v>10.6</v>
      </c>
      <c r="F1385" s="1">
        <v>45839</v>
      </c>
    </row>
    <row r="1386" spans="1:6" x14ac:dyDescent="0.3">
      <c r="A1386" t="s">
        <v>14</v>
      </c>
      <c r="B1386" t="s">
        <v>38</v>
      </c>
      <c r="C1386" t="s">
        <v>4</v>
      </c>
      <c r="D1386" t="s">
        <v>82</v>
      </c>
      <c r="E1386" s="17">
        <v>2.2000000000000002</v>
      </c>
      <c r="F1386" s="1">
        <v>45839</v>
      </c>
    </row>
    <row r="1387" spans="1:6" x14ac:dyDescent="0.3">
      <c r="A1387" t="s">
        <v>14</v>
      </c>
      <c r="B1387" t="s">
        <v>38</v>
      </c>
      <c r="C1387" t="s">
        <v>6</v>
      </c>
      <c r="D1387" t="s">
        <v>82</v>
      </c>
      <c r="E1387" s="17">
        <v>8.4</v>
      </c>
      <c r="F1387" s="1">
        <v>45839</v>
      </c>
    </row>
    <row r="1388" spans="1:6" x14ac:dyDescent="0.3">
      <c r="A1388" t="s">
        <v>12</v>
      </c>
      <c r="B1388" t="s">
        <v>38</v>
      </c>
      <c r="C1388" t="s">
        <v>9</v>
      </c>
      <c r="D1388" t="s">
        <v>82</v>
      </c>
      <c r="E1388" s="17">
        <v>196</v>
      </c>
      <c r="F1388" s="1">
        <v>45839</v>
      </c>
    </row>
    <row r="1389" spans="1:6" x14ac:dyDescent="0.3">
      <c r="A1389" t="s">
        <v>12</v>
      </c>
      <c r="B1389" t="s">
        <v>38</v>
      </c>
      <c r="C1389" t="s">
        <v>4</v>
      </c>
      <c r="D1389" t="s">
        <v>82</v>
      </c>
      <c r="E1389" s="17">
        <v>162.9</v>
      </c>
      <c r="F1389" s="1">
        <v>45839</v>
      </c>
    </row>
    <row r="1390" spans="1:6" x14ac:dyDescent="0.3">
      <c r="A1390" t="s">
        <v>12</v>
      </c>
      <c r="B1390" t="s">
        <v>38</v>
      </c>
      <c r="C1390" t="s">
        <v>6</v>
      </c>
      <c r="D1390" t="s">
        <v>82</v>
      </c>
      <c r="E1390" s="17">
        <v>33.1</v>
      </c>
      <c r="F1390" s="1">
        <v>45839</v>
      </c>
    </row>
    <row r="1391" spans="1:6" x14ac:dyDescent="0.3">
      <c r="A1391" t="s">
        <v>16</v>
      </c>
      <c r="B1391" t="s">
        <v>38</v>
      </c>
      <c r="C1391" t="s">
        <v>6</v>
      </c>
      <c r="D1391" t="s">
        <v>82</v>
      </c>
      <c r="E1391" s="17">
        <v>100.2</v>
      </c>
      <c r="F1391" s="1">
        <v>45839</v>
      </c>
    </row>
    <row r="1392" spans="1:6" x14ac:dyDescent="0.3">
      <c r="A1392" t="s">
        <v>16</v>
      </c>
      <c r="B1392" t="s">
        <v>38</v>
      </c>
      <c r="C1392" t="s">
        <v>4</v>
      </c>
      <c r="D1392" t="s">
        <v>82</v>
      </c>
      <c r="E1392" s="17">
        <v>45.8</v>
      </c>
      <c r="F1392" s="1">
        <v>45839</v>
      </c>
    </row>
    <row r="1393" spans="1:6" x14ac:dyDescent="0.3">
      <c r="A1393" t="s">
        <v>16</v>
      </c>
      <c r="B1393" t="s">
        <v>38</v>
      </c>
      <c r="C1393" t="s">
        <v>9</v>
      </c>
      <c r="D1393" t="s">
        <v>82</v>
      </c>
      <c r="E1393" s="17">
        <v>146</v>
      </c>
      <c r="F1393" s="1">
        <v>45839</v>
      </c>
    </row>
    <row r="1394" spans="1:6" x14ac:dyDescent="0.3">
      <c r="A1394" t="s">
        <v>17</v>
      </c>
      <c r="B1394" t="s">
        <v>38</v>
      </c>
      <c r="C1394" t="s">
        <v>9</v>
      </c>
      <c r="D1394" t="s">
        <v>82</v>
      </c>
      <c r="E1394" s="17">
        <v>27.6</v>
      </c>
      <c r="F1394" s="1">
        <v>45839</v>
      </c>
    </row>
    <row r="1395" spans="1:6" x14ac:dyDescent="0.3">
      <c r="A1395" t="s">
        <v>17</v>
      </c>
      <c r="B1395" t="s">
        <v>38</v>
      </c>
      <c r="C1395" t="s">
        <v>4</v>
      </c>
      <c r="D1395" t="s">
        <v>82</v>
      </c>
      <c r="E1395" s="17">
        <v>0</v>
      </c>
      <c r="F1395" s="1">
        <v>45839</v>
      </c>
    </row>
    <row r="1396" spans="1:6" x14ac:dyDescent="0.3">
      <c r="A1396" t="s">
        <v>17</v>
      </c>
      <c r="B1396" t="s">
        <v>38</v>
      </c>
      <c r="C1396" t="s">
        <v>6</v>
      </c>
      <c r="D1396" t="s">
        <v>82</v>
      </c>
      <c r="E1396" s="17">
        <v>0</v>
      </c>
      <c r="F1396" s="1">
        <v>45839</v>
      </c>
    </row>
    <row r="1397" spans="1:6" x14ac:dyDescent="0.3">
      <c r="A1397" t="s">
        <v>21</v>
      </c>
      <c r="B1397" t="s">
        <v>38</v>
      </c>
      <c r="C1397" t="s">
        <v>4</v>
      </c>
      <c r="D1397" t="s">
        <v>82</v>
      </c>
      <c r="E1397" s="17">
        <v>19.600000000000001</v>
      </c>
      <c r="F1397" s="1">
        <v>45839</v>
      </c>
    </row>
    <row r="1398" spans="1:6" x14ac:dyDescent="0.3">
      <c r="A1398" t="s">
        <v>21</v>
      </c>
      <c r="B1398" t="s">
        <v>38</v>
      </c>
      <c r="C1398" t="s">
        <v>9</v>
      </c>
      <c r="D1398" t="s">
        <v>82</v>
      </c>
      <c r="E1398" s="17">
        <v>170.9</v>
      </c>
      <c r="F1398" s="1">
        <v>45839</v>
      </c>
    </row>
    <row r="1399" spans="1:6" x14ac:dyDescent="0.3">
      <c r="A1399" t="s">
        <v>21</v>
      </c>
      <c r="B1399" t="s">
        <v>38</v>
      </c>
      <c r="C1399" t="s">
        <v>6</v>
      </c>
      <c r="D1399" t="s">
        <v>82</v>
      </c>
      <c r="E1399" s="17">
        <v>151.30000000000001</v>
      </c>
      <c r="F1399" s="1">
        <v>45839</v>
      </c>
    </row>
    <row r="1400" spans="1:6" x14ac:dyDescent="0.3">
      <c r="A1400" t="s">
        <v>19</v>
      </c>
      <c r="B1400" t="s">
        <v>38</v>
      </c>
      <c r="C1400" t="s">
        <v>4</v>
      </c>
      <c r="D1400" t="s">
        <v>82</v>
      </c>
      <c r="E1400" s="17">
        <v>42.7</v>
      </c>
      <c r="F1400" s="1">
        <v>45839</v>
      </c>
    </row>
    <row r="1401" spans="1:6" x14ac:dyDescent="0.3">
      <c r="A1401" t="s">
        <v>19</v>
      </c>
      <c r="B1401" t="s">
        <v>38</v>
      </c>
      <c r="C1401" t="s">
        <v>6</v>
      </c>
      <c r="D1401" t="s">
        <v>82</v>
      </c>
      <c r="E1401" s="17">
        <v>73.3</v>
      </c>
      <c r="F1401" s="1">
        <v>45839</v>
      </c>
    </row>
    <row r="1402" spans="1:6" x14ac:dyDescent="0.3">
      <c r="A1402" t="s">
        <v>19</v>
      </c>
      <c r="B1402" t="s">
        <v>38</v>
      </c>
      <c r="C1402" t="s">
        <v>9</v>
      </c>
      <c r="D1402" t="s">
        <v>82</v>
      </c>
      <c r="E1402" s="17">
        <v>116</v>
      </c>
      <c r="F1402" s="1">
        <v>45839</v>
      </c>
    </row>
    <row r="1403" spans="1:6" x14ac:dyDescent="0.3">
      <c r="A1403" t="s">
        <v>20</v>
      </c>
      <c r="B1403" t="s">
        <v>38</v>
      </c>
      <c r="C1403" t="s">
        <v>4</v>
      </c>
      <c r="D1403" t="s">
        <v>82</v>
      </c>
      <c r="E1403" s="17">
        <v>13.8</v>
      </c>
      <c r="F1403" s="1">
        <v>45839</v>
      </c>
    </row>
    <row r="1404" spans="1:6" x14ac:dyDescent="0.3">
      <c r="A1404" t="s">
        <v>20</v>
      </c>
      <c r="B1404" t="s">
        <v>38</v>
      </c>
      <c r="C1404" t="s">
        <v>9</v>
      </c>
      <c r="D1404" t="s">
        <v>82</v>
      </c>
      <c r="E1404" s="17">
        <v>161</v>
      </c>
      <c r="F1404" s="1">
        <v>45839</v>
      </c>
    </row>
    <row r="1405" spans="1:6" x14ac:dyDescent="0.3">
      <c r="A1405" t="s">
        <v>20</v>
      </c>
      <c r="B1405" t="s">
        <v>38</v>
      </c>
      <c r="C1405" t="s">
        <v>6</v>
      </c>
      <c r="D1405" t="s">
        <v>82</v>
      </c>
      <c r="E1405" s="17">
        <v>147.19999999999999</v>
      </c>
      <c r="F1405" s="1">
        <v>45839</v>
      </c>
    </row>
    <row r="1406" spans="1:6" x14ac:dyDescent="0.3">
      <c r="A1406" t="s">
        <v>18</v>
      </c>
      <c r="B1406" t="s">
        <v>38</v>
      </c>
      <c r="C1406" t="s">
        <v>6</v>
      </c>
      <c r="D1406" t="s">
        <v>82</v>
      </c>
      <c r="E1406" s="17">
        <v>112.2</v>
      </c>
      <c r="F1406" s="1">
        <v>45839</v>
      </c>
    </row>
    <row r="1407" spans="1:6" x14ac:dyDescent="0.3">
      <c r="A1407" t="s">
        <v>18</v>
      </c>
      <c r="B1407" t="s">
        <v>38</v>
      </c>
      <c r="C1407" t="s">
        <v>9</v>
      </c>
      <c r="D1407" t="s">
        <v>82</v>
      </c>
      <c r="E1407" s="17">
        <v>391.6</v>
      </c>
      <c r="F1407" s="1">
        <v>45839</v>
      </c>
    </row>
    <row r="1408" spans="1:6" x14ac:dyDescent="0.3">
      <c r="A1408" t="s">
        <v>18</v>
      </c>
      <c r="B1408" t="s">
        <v>38</v>
      </c>
      <c r="C1408" t="s">
        <v>4</v>
      </c>
      <c r="D1408" t="s">
        <v>82</v>
      </c>
      <c r="E1408" s="17">
        <v>279.39999999999998</v>
      </c>
      <c r="F1408" s="1">
        <v>45839</v>
      </c>
    </row>
    <row r="1409" spans="1:6" x14ac:dyDescent="0.3">
      <c r="A1409" t="s">
        <v>23</v>
      </c>
      <c r="B1409" t="s">
        <v>38</v>
      </c>
      <c r="C1409" t="s">
        <v>9</v>
      </c>
      <c r="D1409" t="s">
        <v>82</v>
      </c>
      <c r="E1409" s="17">
        <v>153.1</v>
      </c>
      <c r="F1409" s="1">
        <v>45839</v>
      </c>
    </row>
    <row r="1410" spans="1:6" x14ac:dyDescent="0.3">
      <c r="A1410" t="s">
        <v>23</v>
      </c>
      <c r="B1410" t="s">
        <v>38</v>
      </c>
      <c r="C1410" t="s">
        <v>4</v>
      </c>
      <c r="D1410" t="s">
        <v>82</v>
      </c>
      <c r="E1410" s="17">
        <v>34.799999999999997</v>
      </c>
      <c r="F1410" s="1">
        <v>45839</v>
      </c>
    </row>
    <row r="1411" spans="1:6" x14ac:dyDescent="0.3">
      <c r="A1411" t="s">
        <v>23</v>
      </c>
      <c r="B1411" t="s">
        <v>38</v>
      </c>
      <c r="C1411" t="s">
        <v>6</v>
      </c>
      <c r="D1411" t="s">
        <v>82</v>
      </c>
      <c r="E1411" s="17">
        <v>118.3</v>
      </c>
      <c r="F1411" s="1">
        <v>45839</v>
      </c>
    </row>
    <row r="1412" spans="1:6" x14ac:dyDescent="0.3">
      <c r="A1412" t="s">
        <v>22</v>
      </c>
      <c r="B1412" t="s">
        <v>38</v>
      </c>
      <c r="C1412" t="s">
        <v>4</v>
      </c>
      <c r="D1412" t="s">
        <v>82</v>
      </c>
      <c r="E1412" s="17">
        <v>88.7</v>
      </c>
      <c r="F1412" s="1">
        <v>45839</v>
      </c>
    </row>
    <row r="1413" spans="1:6" x14ac:dyDescent="0.3">
      <c r="A1413" t="s">
        <v>22</v>
      </c>
      <c r="B1413" t="s">
        <v>38</v>
      </c>
      <c r="C1413" t="s">
        <v>9</v>
      </c>
      <c r="D1413" t="s">
        <v>82</v>
      </c>
      <c r="E1413" s="17">
        <v>141.4</v>
      </c>
      <c r="F1413" s="1">
        <v>45839</v>
      </c>
    </row>
    <row r="1414" spans="1:6" x14ac:dyDescent="0.3">
      <c r="A1414" t="s">
        <v>22</v>
      </c>
      <c r="B1414" t="s">
        <v>38</v>
      </c>
      <c r="C1414" t="s">
        <v>6</v>
      </c>
      <c r="D1414" t="s">
        <v>82</v>
      </c>
      <c r="E1414" s="17">
        <v>52.7</v>
      </c>
      <c r="F1414" s="1">
        <v>45839</v>
      </c>
    </row>
    <row r="1415" spans="1:6" x14ac:dyDescent="0.3">
      <c r="A1415" t="s">
        <v>28</v>
      </c>
      <c r="B1415" t="s">
        <v>38</v>
      </c>
      <c r="C1415" t="s">
        <v>9</v>
      </c>
      <c r="D1415" t="s">
        <v>82</v>
      </c>
      <c r="E1415" s="17">
        <v>278.10000000000002</v>
      </c>
      <c r="F1415" s="1">
        <v>45839</v>
      </c>
    </row>
    <row r="1416" spans="1:6" x14ac:dyDescent="0.3">
      <c r="A1416" t="s">
        <v>28</v>
      </c>
      <c r="B1416" t="s">
        <v>38</v>
      </c>
      <c r="C1416" t="s">
        <v>4</v>
      </c>
      <c r="D1416" t="s">
        <v>82</v>
      </c>
      <c r="E1416" s="17">
        <v>120.7</v>
      </c>
      <c r="F1416" s="1">
        <v>45839</v>
      </c>
    </row>
    <row r="1417" spans="1:6" x14ac:dyDescent="0.3">
      <c r="A1417" t="s">
        <v>28</v>
      </c>
      <c r="B1417" t="s">
        <v>38</v>
      </c>
      <c r="C1417" t="s">
        <v>6</v>
      </c>
      <c r="D1417" t="s">
        <v>82</v>
      </c>
      <c r="E1417" s="17">
        <v>157.4</v>
      </c>
      <c r="F1417" s="1">
        <v>45839</v>
      </c>
    </row>
    <row r="1418" spans="1:6" x14ac:dyDescent="0.3">
      <c r="A1418" t="s">
        <v>11</v>
      </c>
      <c r="B1418" t="s">
        <v>38</v>
      </c>
      <c r="C1418" t="s">
        <v>6</v>
      </c>
      <c r="D1418" t="s">
        <v>82</v>
      </c>
      <c r="E1418" s="17">
        <v>2220.1</v>
      </c>
      <c r="F1418" s="1">
        <v>45839</v>
      </c>
    </row>
    <row r="1419" spans="1:6" x14ac:dyDescent="0.3">
      <c r="A1419" t="s">
        <v>11</v>
      </c>
      <c r="B1419" t="s">
        <v>38</v>
      </c>
      <c r="C1419" t="s">
        <v>4</v>
      </c>
      <c r="D1419" t="s">
        <v>82</v>
      </c>
      <c r="E1419" s="17">
        <v>1837.8</v>
      </c>
      <c r="F1419" s="1">
        <v>45839</v>
      </c>
    </row>
    <row r="1420" spans="1:6" x14ac:dyDescent="0.3">
      <c r="A1420" t="s">
        <v>11</v>
      </c>
      <c r="B1420" t="s">
        <v>38</v>
      </c>
      <c r="C1420" t="s">
        <v>9</v>
      </c>
      <c r="D1420" t="s">
        <v>82</v>
      </c>
      <c r="E1420" s="17">
        <v>4057.9</v>
      </c>
      <c r="F1420" s="1">
        <v>45839</v>
      </c>
    </row>
    <row r="1421" spans="1:6" x14ac:dyDescent="0.3">
      <c r="A1421" t="s">
        <v>29</v>
      </c>
      <c r="B1421" t="s">
        <v>38</v>
      </c>
      <c r="C1421" t="s">
        <v>9</v>
      </c>
      <c r="D1421" t="s">
        <v>82</v>
      </c>
      <c r="E1421" s="17">
        <v>119.9</v>
      </c>
      <c r="F1421" s="1">
        <v>45839</v>
      </c>
    </row>
    <row r="1422" spans="1:6" x14ac:dyDescent="0.3">
      <c r="A1422" t="s">
        <v>29</v>
      </c>
      <c r="B1422" t="s">
        <v>38</v>
      </c>
      <c r="C1422" t="s">
        <v>6</v>
      </c>
      <c r="D1422" t="s">
        <v>82</v>
      </c>
      <c r="E1422" s="17">
        <v>41</v>
      </c>
      <c r="F1422" s="1">
        <v>45839</v>
      </c>
    </row>
    <row r="1423" spans="1:6" x14ac:dyDescent="0.3">
      <c r="A1423" t="s">
        <v>29</v>
      </c>
      <c r="B1423" t="s">
        <v>38</v>
      </c>
      <c r="C1423" t="s">
        <v>4</v>
      </c>
      <c r="D1423" t="s">
        <v>82</v>
      </c>
      <c r="E1423" s="17">
        <v>78.900000000000006</v>
      </c>
      <c r="F1423" s="1">
        <v>45839</v>
      </c>
    </row>
    <row r="1424" spans="1:6" x14ac:dyDescent="0.3">
      <c r="A1424" t="s">
        <v>24</v>
      </c>
      <c r="B1424" t="s">
        <v>38</v>
      </c>
      <c r="C1424" t="s">
        <v>4</v>
      </c>
      <c r="D1424" t="s">
        <v>82</v>
      </c>
      <c r="E1424" s="17">
        <v>0</v>
      </c>
      <c r="F1424" s="1">
        <v>45839</v>
      </c>
    </row>
    <row r="1425" spans="1:6" x14ac:dyDescent="0.3">
      <c r="A1425" t="s">
        <v>24</v>
      </c>
      <c r="B1425" t="s">
        <v>38</v>
      </c>
      <c r="C1425" t="s">
        <v>6</v>
      </c>
      <c r="D1425" t="s">
        <v>82</v>
      </c>
      <c r="E1425" s="17">
        <v>0</v>
      </c>
      <c r="F1425" s="1">
        <v>45839</v>
      </c>
    </row>
    <row r="1426" spans="1:6" x14ac:dyDescent="0.3">
      <c r="A1426" t="s">
        <v>24</v>
      </c>
      <c r="B1426" t="s">
        <v>38</v>
      </c>
      <c r="C1426" t="s">
        <v>9</v>
      </c>
      <c r="D1426" t="s">
        <v>82</v>
      </c>
      <c r="E1426" s="17">
        <v>30.7</v>
      </c>
      <c r="F1426" s="1">
        <v>45839</v>
      </c>
    </row>
    <row r="1427" spans="1:6" x14ac:dyDescent="0.3">
      <c r="A1427" t="s">
        <v>27</v>
      </c>
      <c r="B1427" t="s">
        <v>38</v>
      </c>
      <c r="C1427" t="s">
        <v>6</v>
      </c>
      <c r="D1427" t="s">
        <v>82</v>
      </c>
      <c r="E1427" s="17">
        <v>208.8</v>
      </c>
      <c r="F1427" s="1">
        <v>45839</v>
      </c>
    </row>
    <row r="1428" spans="1:6" x14ac:dyDescent="0.3">
      <c r="A1428" t="s">
        <v>27</v>
      </c>
      <c r="B1428" t="s">
        <v>38</v>
      </c>
      <c r="C1428" t="s">
        <v>9</v>
      </c>
      <c r="D1428" t="s">
        <v>82</v>
      </c>
      <c r="E1428" s="17">
        <v>388.3</v>
      </c>
      <c r="F1428" s="1">
        <v>45839</v>
      </c>
    </row>
    <row r="1429" spans="1:6" x14ac:dyDescent="0.3">
      <c r="A1429" t="s">
        <v>27</v>
      </c>
      <c r="B1429" t="s">
        <v>38</v>
      </c>
      <c r="C1429" t="s">
        <v>4</v>
      </c>
      <c r="D1429" t="s">
        <v>82</v>
      </c>
      <c r="E1429" s="17">
        <v>179.5</v>
      </c>
      <c r="F1429" s="1">
        <v>45839</v>
      </c>
    </row>
    <row r="1430" spans="1:6" x14ac:dyDescent="0.3">
      <c r="A1430" t="s">
        <v>26</v>
      </c>
      <c r="B1430" t="s">
        <v>38</v>
      </c>
      <c r="C1430" t="s">
        <v>9</v>
      </c>
      <c r="D1430" t="s">
        <v>82</v>
      </c>
      <c r="E1430" s="17">
        <v>268.3</v>
      </c>
      <c r="F1430" s="1">
        <v>45839</v>
      </c>
    </row>
    <row r="1431" spans="1:6" x14ac:dyDescent="0.3">
      <c r="A1431" t="s">
        <v>26</v>
      </c>
      <c r="B1431" t="s">
        <v>38</v>
      </c>
      <c r="C1431" t="s">
        <v>6</v>
      </c>
      <c r="D1431" t="s">
        <v>82</v>
      </c>
      <c r="E1431" s="17">
        <v>42.4</v>
      </c>
      <c r="F1431" s="1">
        <v>45839</v>
      </c>
    </row>
    <row r="1432" spans="1:6" x14ac:dyDescent="0.3">
      <c r="A1432" t="s">
        <v>26</v>
      </c>
      <c r="B1432" t="s">
        <v>38</v>
      </c>
      <c r="C1432" t="s">
        <v>4</v>
      </c>
      <c r="D1432" t="s">
        <v>82</v>
      </c>
      <c r="E1432" s="17">
        <v>225.9</v>
      </c>
      <c r="F1432" s="1">
        <v>45839</v>
      </c>
    </row>
    <row r="1433" spans="1:6" x14ac:dyDescent="0.3">
      <c r="A1433" t="s">
        <v>25</v>
      </c>
      <c r="B1433" t="s">
        <v>38</v>
      </c>
      <c r="C1433" t="s">
        <v>4</v>
      </c>
      <c r="D1433" t="s">
        <v>82</v>
      </c>
      <c r="E1433" s="17">
        <v>5.2</v>
      </c>
      <c r="F1433" s="1">
        <v>45839</v>
      </c>
    </row>
    <row r="1434" spans="1:6" x14ac:dyDescent="0.3">
      <c r="A1434" t="s">
        <v>25</v>
      </c>
      <c r="B1434" t="s">
        <v>38</v>
      </c>
      <c r="C1434" t="s">
        <v>6</v>
      </c>
      <c r="D1434" t="s">
        <v>82</v>
      </c>
      <c r="E1434" s="17">
        <v>80.099999999999994</v>
      </c>
      <c r="F1434" s="1">
        <v>45839</v>
      </c>
    </row>
    <row r="1435" spans="1:6" x14ac:dyDescent="0.3">
      <c r="A1435" t="s">
        <v>25</v>
      </c>
      <c r="B1435" t="s">
        <v>38</v>
      </c>
      <c r="C1435" t="s">
        <v>9</v>
      </c>
      <c r="D1435" t="s">
        <v>82</v>
      </c>
      <c r="E1435" s="17">
        <v>85.3</v>
      </c>
      <c r="F1435" s="1">
        <v>45839</v>
      </c>
    </row>
    <row r="1436" spans="1:6" x14ac:dyDescent="0.3">
      <c r="A1436" t="s">
        <v>30</v>
      </c>
      <c r="B1436" t="s">
        <v>38</v>
      </c>
      <c r="C1436" t="s">
        <v>6</v>
      </c>
      <c r="D1436" t="s">
        <v>82</v>
      </c>
      <c r="E1436" s="17">
        <v>75.7</v>
      </c>
      <c r="F1436" s="1">
        <v>45839</v>
      </c>
    </row>
    <row r="1437" spans="1:6" x14ac:dyDescent="0.3">
      <c r="A1437" t="s">
        <v>30</v>
      </c>
      <c r="B1437" t="s">
        <v>38</v>
      </c>
      <c r="C1437" t="s">
        <v>9</v>
      </c>
      <c r="D1437" t="s">
        <v>82</v>
      </c>
      <c r="E1437" s="17">
        <v>240.2</v>
      </c>
      <c r="F1437" s="1">
        <v>45839</v>
      </c>
    </row>
    <row r="1438" spans="1:6" x14ac:dyDescent="0.3">
      <c r="A1438" t="s">
        <v>30</v>
      </c>
      <c r="B1438" t="s">
        <v>38</v>
      </c>
      <c r="C1438" t="s">
        <v>4</v>
      </c>
      <c r="D1438" t="s">
        <v>82</v>
      </c>
      <c r="E1438" s="17">
        <v>164.5</v>
      </c>
      <c r="F1438" s="1">
        <v>45839</v>
      </c>
    </row>
    <row r="1439" spans="1:6" x14ac:dyDescent="0.3">
      <c r="A1439" t="s">
        <v>15</v>
      </c>
      <c r="B1439" t="s">
        <v>38</v>
      </c>
      <c r="C1439" t="s">
        <v>4</v>
      </c>
      <c r="D1439" t="s">
        <v>84</v>
      </c>
      <c r="E1439">
        <v>13.1</v>
      </c>
      <c r="F1439" s="1">
        <v>46235</v>
      </c>
    </row>
    <row r="1440" spans="1:6" x14ac:dyDescent="0.3">
      <c r="A1440" t="s">
        <v>15</v>
      </c>
      <c r="B1440" t="s">
        <v>38</v>
      </c>
      <c r="C1440" t="s">
        <v>6</v>
      </c>
      <c r="D1440" t="s">
        <v>84</v>
      </c>
      <c r="E1440">
        <v>113</v>
      </c>
      <c r="F1440" s="1">
        <v>46235</v>
      </c>
    </row>
    <row r="1441" spans="1:6" x14ac:dyDescent="0.3">
      <c r="A1441" t="s">
        <v>15</v>
      </c>
      <c r="B1441" t="s">
        <v>38</v>
      </c>
      <c r="C1441" t="s">
        <v>9</v>
      </c>
      <c r="D1441" t="s">
        <v>84</v>
      </c>
      <c r="E1441">
        <v>126.1</v>
      </c>
      <c r="F1441" s="1">
        <v>46235</v>
      </c>
    </row>
    <row r="1442" spans="1:6" x14ac:dyDescent="0.3">
      <c r="A1442" t="s">
        <v>7</v>
      </c>
      <c r="B1442" t="s">
        <v>38</v>
      </c>
      <c r="C1442" t="s">
        <v>9</v>
      </c>
      <c r="D1442" t="s">
        <v>84</v>
      </c>
      <c r="E1442">
        <v>165.8</v>
      </c>
      <c r="F1442" s="1">
        <v>46235</v>
      </c>
    </row>
    <row r="1443" spans="1:6" x14ac:dyDescent="0.3">
      <c r="A1443" t="s">
        <v>7</v>
      </c>
      <c r="B1443" t="s">
        <v>38</v>
      </c>
      <c r="C1443" t="s">
        <v>6</v>
      </c>
      <c r="D1443" t="s">
        <v>84</v>
      </c>
      <c r="E1443">
        <v>82.5</v>
      </c>
      <c r="F1443" s="1">
        <v>46235</v>
      </c>
    </row>
    <row r="1444" spans="1:6" x14ac:dyDescent="0.3">
      <c r="A1444" t="s">
        <v>7</v>
      </c>
      <c r="B1444" t="s">
        <v>38</v>
      </c>
      <c r="C1444" t="s">
        <v>4</v>
      </c>
      <c r="D1444" t="s">
        <v>84</v>
      </c>
      <c r="E1444">
        <v>83.3</v>
      </c>
      <c r="F1444" s="1">
        <v>46235</v>
      </c>
    </row>
    <row r="1445" spans="1:6" x14ac:dyDescent="0.3">
      <c r="A1445" t="s">
        <v>10</v>
      </c>
      <c r="B1445" t="s">
        <v>38</v>
      </c>
      <c r="C1445" t="s">
        <v>6</v>
      </c>
      <c r="D1445" t="s">
        <v>84</v>
      </c>
      <c r="E1445">
        <v>169</v>
      </c>
      <c r="F1445" s="1">
        <v>46235</v>
      </c>
    </row>
    <row r="1446" spans="1:6" x14ac:dyDescent="0.3">
      <c r="A1446" t="s">
        <v>10</v>
      </c>
      <c r="B1446" t="s">
        <v>38</v>
      </c>
      <c r="C1446" t="s">
        <v>4</v>
      </c>
      <c r="D1446" t="s">
        <v>84</v>
      </c>
      <c r="E1446">
        <v>199.3</v>
      </c>
      <c r="F1446" s="1">
        <v>46235</v>
      </c>
    </row>
    <row r="1447" spans="1:6" x14ac:dyDescent="0.3">
      <c r="A1447" t="s">
        <v>10</v>
      </c>
      <c r="B1447" t="s">
        <v>38</v>
      </c>
      <c r="C1447" t="s">
        <v>9</v>
      </c>
      <c r="D1447" t="s">
        <v>84</v>
      </c>
      <c r="E1447">
        <v>368.3</v>
      </c>
      <c r="F1447" s="1">
        <v>46235</v>
      </c>
    </row>
    <row r="1448" spans="1:6" x14ac:dyDescent="0.3">
      <c r="A1448" t="s">
        <v>5</v>
      </c>
      <c r="B1448" t="s">
        <v>38</v>
      </c>
      <c r="C1448" t="s">
        <v>4</v>
      </c>
      <c r="D1448" t="s">
        <v>84</v>
      </c>
      <c r="E1448">
        <v>36.700000000000003</v>
      </c>
      <c r="F1448" s="1">
        <v>46235</v>
      </c>
    </row>
    <row r="1449" spans="1:6" x14ac:dyDescent="0.3">
      <c r="A1449" t="s">
        <v>5</v>
      </c>
      <c r="B1449" t="s">
        <v>38</v>
      </c>
      <c r="C1449" t="s">
        <v>6</v>
      </c>
      <c r="D1449" t="s">
        <v>84</v>
      </c>
      <c r="E1449">
        <v>74.900000000000006</v>
      </c>
      <c r="F1449" s="1">
        <v>46235</v>
      </c>
    </row>
    <row r="1450" spans="1:6" x14ac:dyDescent="0.3">
      <c r="A1450" t="s">
        <v>5</v>
      </c>
      <c r="B1450" t="s">
        <v>38</v>
      </c>
      <c r="C1450" t="s">
        <v>9</v>
      </c>
      <c r="D1450" t="s">
        <v>84</v>
      </c>
      <c r="E1450">
        <v>111.6</v>
      </c>
      <c r="F1450" s="1">
        <v>46235</v>
      </c>
    </row>
    <row r="1451" spans="1:6" x14ac:dyDescent="0.3">
      <c r="A1451" t="s">
        <v>3</v>
      </c>
      <c r="B1451" t="s">
        <v>38</v>
      </c>
      <c r="C1451" t="s">
        <v>9</v>
      </c>
      <c r="D1451" t="s">
        <v>84</v>
      </c>
      <c r="E1451">
        <v>4</v>
      </c>
      <c r="F1451" s="1">
        <v>46235</v>
      </c>
    </row>
    <row r="1452" spans="1:6" x14ac:dyDescent="0.3">
      <c r="A1452" t="s">
        <v>3</v>
      </c>
      <c r="B1452" t="s">
        <v>38</v>
      </c>
      <c r="C1452" t="s">
        <v>6</v>
      </c>
      <c r="D1452" t="s">
        <v>84</v>
      </c>
      <c r="E1452">
        <v>0</v>
      </c>
      <c r="F1452" s="1">
        <v>46235</v>
      </c>
    </row>
    <row r="1453" spans="1:6" x14ac:dyDescent="0.3">
      <c r="A1453" t="s">
        <v>3</v>
      </c>
      <c r="B1453" t="s">
        <v>38</v>
      </c>
      <c r="C1453" t="s">
        <v>4</v>
      </c>
      <c r="D1453" t="s">
        <v>84</v>
      </c>
      <c r="E1453">
        <v>0</v>
      </c>
      <c r="F1453" s="1">
        <v>46235</v>
      </c>
    </row>
    <row r="1454" spans="1:6" x14ac:dyDescent="0.3">
      <c r="A1454" t="s">
        <v>8</v>
      </c>
      <c r="B1454" t="s">
        <v>38</v>
      </c>
      <c r="C1454" t="s">
        <v>4</v>
      </c>
      <c r="D1454" t="s">
        <v>84</v>
      </c>
      <c r="E1454">
        <v>115.5</v>
      </c>
      <c r="F1454" s="1">
        <v>46235</v>
      </c>
    </row>
    <row r="1455" spans="1:6" x14ac:dyDescent="0.3">
      <c r="A1455" t="s">
        <v>8</v>
      </c>
      <c r="B1455" t="s">
        <v>38</v>
      </c>
      <c r="C1455" t="s">
        <v>6</v>
      </c>
      <c r="D1455" t="s">
        <v>84</v>
      </c>
      <c r="E1455">
        <v>106.7</v>
      </c>
      <c r="F1455" s="1">
        <v>46235</v>
      </c>
    </row>
    <row r="1456" spans="1:6" x14ac:dyDescent="0.3">
      <c r="A1456" t="s">
        <v>8</v>
      </c>
      <c r="B1456" t="s">
        <v>38</v>
      </c>
      <c r="C1456" t="s">
        <v>9</v>
      </c>
      <c r="D1456" t="s">
        <v>84</v>
      </c>
      <c r="E1456">
        <v>222.2</v>
      </c>
      <c r="F1456" s="1">
        <v>46235</v>
      </c>
    </row>
    <row r="1457" spans="1:6" x14ac:dyDescent="0.3">
      <c r="A1457" t="s">
        <v>13</v>
      </c>
      <c r="B1457" t="s">
        <v>38</v>
      </c>
      <c r="C1457" t="s">
        <v>4</v>
      </c>
      <c r="D1457" t="s">
        <v>84</v>
      </c>
      <c r="E1457">
        <v>0.8</v>
      </c>
      <c r="F1457" s="1">
        <v>46235</v>
      </c>
    </row>
    <row r="1458" spans="1:6" x14ac:dyDescent="0.3">
      <c r="A1458" t="s">
        <v>13</v>
      </c>
      <c r="B1458" t="s">
        <v>38</v>
      </c>
      <c r="C1458" t="s">
        <v>9</v>
      </c>
      <c r="D1458" t="s">
        <v>84</v>
      </c>
      <c r="E1458">
        <v>53.1</v>
      </c>
      <c r="F1458" s="1">
        <v>46235</v>
      </c>
    </row>
    <row r="1459" spans="1:6" x14ac:dyDescent="0.3">
      <c r="A1459" t="s">
        <v>13</v>
      </c>
      <c r="B1459" t="s">
        <v>38</v>
      </c>
      <c r="C1459" t="s">
        <v>6</v>
      </c>
      <c r="D1459" t="s">
        <v>84</v>
      </c>
      <c r="E1459">
        <v>52.3</v>
      </c>
      <c r="F1459" s="1">
        <v>46235</v>
      </c>
    </row>
    <row r="1460" spans="1:6" x14ac:dyDescent="0.3">
      <c r="A1460" t="s">
        <v>14</v>
      </c>
      <c r="B1460" t="s">
        <v>38</v>
      </c>
      <c r="C1460" t="s">
        <v>9</v>
      </c>
      <c r="D1460" t="s">
        <v>84</v>
      </c>
      <c r="E1460">
        <v>7.7</v>
      </c>
      <c r="F1460" s="1">
        <v>46235</v>
      </c>
    </row>
    <row r="1461" spans="1:6" x14ac:dyDescent="0.3">
      <c r="A1461" t="s">
        <v>14</v>
      </c>
      <c r="B1461" t="s">
        <v>38</v>
      </c>
      <c r="C1461" t="s">
        <v>4</v>
      </c>
      <c r="D1461" t="s">
        <v>84</v>
      </c>
      <c r="E1461">
        <v>1.5</v>
      </c>
      <c r="F1461" s="1">
        <v>46235</v>
      </c>
    </row>
    <row r="1462" spans="1:6" x14ac:dyDescent="0.3">
      <c r="A1462" t="s">
        <v>14</v>
      </c>
      <c r="B1462" t="s">
        <v>38</v>
      </c>
      <c r="C1462" t="s">
        <v>6</v>
      </c>
      <c r="D1462" t="s">
        <v>84</v>
      </c>
      <c r="E1462">
        <v>6.2</v>
      </c>
      <c r="F1462" s="1">
        <v>46235</v>
      </c>
    </row>
    <row r="1463" spans="1:6" x14ac:dyDescent="0.3">
      <c r="A1463" t="s">
        <v>12</v>
      </c>
      <c r="B1463" t="s">
        <v>38</v>
      </c>
      <c r="C1463" t="s">
        <v>9</v>
      </c>
      <c r="D1463" t="s">
        <v>84</v>
      </c>
      <c r="E1463">
        <v>227.7</v>
      </c>
      <c r="F1463" s="1">
        <v>46235</v>
      </c>
    </row>
    <row r="1464" spans="1:6" x14ac:dyDescent="0.3">
      <c r="A1464" t="s">
        <v>12</v>
      </c>
      <c r="B1464" t="s">
        <v>38</v>
      </c>
      <c r="C1464" t="s">
        <v>4</v>
      </c>
      <c r="D1464" t="s">
        <v>84</v>
      </c>
      <c r="E1464">
        <v>191.8</v>
      </c>
      <c r="F1464" s="1">
        <v>46235</v>
      </c>
    </row>
    <row r="1465" spans="1:6" x14ac:dyDescent="0.3">
      <c r="A1465" t="s">
        <v>12</v>
      </c>
      <c r="B1465" t="s">
        <v>38</v>
      </c>
      <c r="C1465" t="s">
        <v>6</v>
      </c>
      <c r="D1465" t="s">
        <v>84</v>
      </c>
      <c r="E1465">
        <v>35.9</v>
      </c>
      <c r="F1465" s="1">
        <v>46235</v>
      </c>
    </row>
    <row r="1466" spans="1:6" x14ac:dyDescent="0.3">
      <c r="A1466" t="s">
        <v>16</v>
      </c>
      <c r="B1466" t="s">
        <v>38</v>
      </c>
      <c r="C1466" t="s">
        <v>6</v>
      </c>
      <c r="D1466" t="s">
        <v>84</v>
      </c>
      <c r="E1466">
        <v>102.1</v>
      </c>
      <c r="F1466" s="1">
        <v>46235</v>
      </c>
    </row>
    <row r="1467" spans="1:6" x14ac:dyDescent="0.3">
      <c r="A1467" t="s">
        <v>16</v>
      </c>
      <c r="B1467" t="s">
        <v>38</v>
      </c>
      <c r="C1467" t="s">
        <v>4</v>
      </c>
      <c r="D1467" t="s">
        <v>84</v>
      </c>
      <c r="E1467">
        <v>53.8</v>
      </c>
      <c r="F1467" s="1">
        <v>46235</v>
      </c>
    </row>
    <row r="1468" spans="1:6" x14ac:dyDescent="0.3">
      <c r="A1468" t="s">
        <v>16</v>
      </c>
      <c r="B1468" t="s">
        <v>38</v>
      </c>
      <c r="C1468" t="s">
        <v>9</v>
      </c>
      <c r="D1468" t="s">
        <v>84</v>
      </c>
      <c r="E1468">
        <v>155.9</v>
      </c>
      <c r="F1468" s="1">
        <v>46235</v>
      </c>
    </row>
    <row r="1469" spans="1:6" x14ac:dyDescent="0.3">
      <c r="A1469" t="s">
        <v>17</v>
      </c>
      <c r="B1469" t="s">
        <v>38</v>
      </c>
      <c r="C1469" t="s">
        <v>9</v>
      </c>
      <c r="D1469" t="s">
        <v>84</v>
      </c>
      <c r="E1469">
        <v>0</v>
      </c>
      <c r="F1469" s="1">
        <v>46235</v>
      </c>
    </row>
    <row r="1470" spans="1:6" x14ac:dyDescent="0.3">
      <c r="A1470" t="s">
        <v>17</v>
      </c>
      <c r="B1470" t="s">
        <v>38</v>
      </c>
      <c r="C1470" t="s">
        <v>4</v>
      </c>
      <c r="D1470" t="s">
        <v>84</v>
      </c>
      <c r="E1470">
        <v>0</v>
      </c>
      <c r="F1470" s="1">
        <v>46235</v>
      </c>
    </row>
    <row r="1471" spans="1:6" x14ac:dyDescent="0.3">
      <c r="A1471" t="s">
        <v>17</v>
      </c>
      <c r="B1471" t="s">
        <v>38</v>
      </c>
      <c r="C1471" t="s">
        <v>6</v>
      </c>
      <c r="D1471" t="s">
        <v>84</v>
      </c>
      <c r="E1471">
        <v>0</v>
      </c>
      <c r="F1471" s="1">
        <v>46235</v>
      </c>
    </row>
    <row r="1472" spans="1:6" x14ac:dyDescent="0.3">
      <c r="A1472" t="s">
        <v>21</v>
      </c>
      <c r="B1472" t="s">
        <v>38</v>
      </c>
      <c r="C1472" t="s">
        <v>4</v>
      </c>
      <c r="D1472" t="s">
        <v>84</v>
      </c>
      <c r="E1472">
        <v>26</v>
      </c>
      <c r="F1472" s="1">
        <v>46235</v>
      </c>
    </row>
    <row r="1473" spans="1:6" x14ac:dyDescent="0.3">
      <c r="A1473" t="s">
        <v>21</v>
      </c>
      <c r="B1473" t="s">
        <v>38</v>
      </c>
      <c r="C1473" t="s">
        <v>9</v>
      </c>
      <c r="D1473" t="s">
        <v>84</v>
      </c>
      <c r="E1473">
        <v>142.19999999999999</v>
      </c>
      <c r="F1473" s="1">
        <v>46235</v>
      </c>
    </row>
    <row r="1474" spans="1:6" x14ac:dyDescent="0.3">
      <c r="A1474" t="s">
        <v>21</v>
      </c>
      <c r="B1474" t="s">
        <v>38</v>
      </c>
      <c r="C1474" t="s">
        <v>6</v>
      </c>
      <c r="D1474" t="s">
        <v>84</v>
      </c>
      <c r="E1474">
        <v>116.2</v>
      </c>
      <c r="F1474" s="1">
        <v>46235</v>
      </c>
    </row>
    <row r="1475" spans="1:6" x14ac:dyDescent="0.3">
      <c r="A1475" t="s">
        <v>19</v>
      </c>
      <c r="B1475" t="s">
        <v>38</v>
      </c>
      <c r="C1475" t="s">
        <v>4</v>
      </c>
      <c r="D1475" t="s">
        <v>84</v>
      </c>
      <c r="E1475">
        <v>51.4</v>
      </c>
      <c r="F1475" s="1">
        <v>46235</v>
      </c>
    </row>
    <row r="1476" spans="1:6" x14ac:dyDescent="0.3">
      <c r="A1476" t="s">
        <v>19</v>
      </c>
      <c r="B1476" t="s">
        <v>38</v>
      </c>
      <c r="C1476" t="s">
        <v>6</v>
      </c>
      <c r="D1476" t="s">
        <v>84</v>
      </c>
      <c r="E1476">
        <v>73.8</v>
      </c>
      <c r="F1476" s="1">
        <v>46235</v>
      </c>
    </row>
    <row r="1477" spans="1:6" x14ac:dyDescent="0.3">
      <c r="A1477" t="s">
        <v>19</v>
      </c>
      <c r="B1477" t="s">
        <v>38</v>
      </c>
      <c r="C1477" t="s">
        <v>9</v>
      </c>
      <c r="D1477" t="s">
        <v>84</v>
      </c>
      <c r="E1477">
        <v>125.2</v>
      </c>
      <c r="F1477" s="1">
        <v>46235</v>
      </c>
    </row>
    <row r="1478" spans="1:6" x14ac:dyDescent="0.3">
      <c r="A1478" t="s">
        <v>20</v>
      </c>
      <c r="B1478" t="s">
        <v>38</v>
      </c>
      <c r="C1478" t="s">
        <v>4</v>
      </c>
      <c r="D1478" t="s">
        <v>84</v>
      </c>
      <c r="E1478">
        <v>14</v>
      </c>
      <c r="F1478" s="1">
        <v>46235</v>
      </c>
    </row>
    <row r="1479" spans="1:6" x14ac:dyDescent="0.3">
      <c r="A1479" t="s">
        <v>20</v>
      </c>
      <c r="B1479" t="s">
        <v>38</v>
      </c>
      <c r="C1479" t="s">
        <v>9</v>
      </c>
      <c r="D1479" t="s">
        <v>84</v>
      </c>
      <c r="E1479">
        <v>182.8</v>
      </c>
      <c r="F1479" s="1">
        <v>46235</v>
      </c>
    </row>
    <row r="1480" spans="1:6" x14ac:dyDescent="0.3">
      <c r="A1480" t="s">
        <v>20</v>
      </c>
      <c r="B1480" t="s">
        <v>38</v>
      </c>
      <c r="C1480" t="s">
        <v>6</v>
      </c>
      <c r="D1480" t="s">
        <v>84</v>
      </c>
      <c r="E1480">
        <v>168.8</v>
      </c>
      <c r="F1480" s="1">
        <v>46235</v>
      </c>
    </row>
    <row r="1481" spans="1:6" x14ac:dyDescent="0.3">
      <c r="A1481" t="s">
        <v>18</v>
      </c>
      <c r="B1481" t="s">
        <v>38</v>
      </c>
      <c r="C1481" t="s">
        <v>6</v>
      </c>
      <c r="D1481" t="s">
        <v>84</v>
      </c>
      <c r="E1481">
        <v>105.1</v>
      </c>
      <c r="F1481" s="1">
        <v>46235</v>
      </c>
    </row>
    <row r="1482" spans="1:6" x14ac:dyDescent="0.3">
      <c r="A1482" t="s">
        <v>18</v>
      </c>
      <c r="B1482" t="s">
        <v>38</v>
      </c>
      <c r="C1482" t="s">
        <v>9</v>
      </c>
      <c r="D1482" t="s">
        <v>84</v>
      </c>
      <c r="E1482">
        <v>423.8</v>
      </c>
      <c r="F1482" s="1">
        <v>46235</v>
      </c>
    </row>
    <row r="1483" spans="1:6" x14ac:dyDescent="0.3">
      <c r="A1483" t="s">
        <v>18</v>
      </c>
      <c r="B1483" t="s">
        <v>38</v>
      </c>
      <c r="C1483" t="s">
        <v>4</v>
      </c>
      <c r="D1483" t="s">
        <v>84</v>
      </c>
      <c r="E1483">
        <v>318.7</v>
      </c>
      <c r="F1483" s="1">
        <v>46235</v>
      </c>
    </row>
    <row r="1484" spans="1:6" x14ac:dyDescent="0.3">
      <c r="A1484" t="s">
        <v>23</v>
      </c>
      <c r="B1484" t="s">
        <v>38</v>
      </c>
      <c r="C1484" t="s">
        <v>9</v>
      </c>
      <c r="D1484" t="s">
        <v>84</v>
      </c>
      <c r="E1484">
        <v>155.30000000000001</v>
      </c>
      <c r="F1484" s="1">
        <v>46235</v>
      </c>
    </row>
    <row r="1485" spans="1:6" x14ac:dyDescent="0.3">
      <c r="A1485" t="s">
        <v>23</v>
      </c>
      <c r="B1485" t="s">
        <v>38</v>
      </c>
      <c r="C1485" t="s">
        <v>4</v>
      </c>
      <c r="D1485" t="s">
        <v>84</v>
      </c>
      <c r="E1485">
        <v>55.2</v>
      </c>
      <c r="F1485" s="1">
        <v>46235</v>
      </c>
    </row>
    <row r="1486" spans="1:6" x14ac:dyDescent="0.3">
      <c r="A1486" t="s">
        <v>23</v>
      </c>
      <c r="B1486" t="s">
        <v>38</v>
      </c>
      <c r="C1486" t="s">
        <v>6</v>
      </c>
      <c r="D1486" t="s">
        <v>84</v>
      </c>
      <c r="E1486">
        <v>100.1</v>
      </c>
      <c r="F1486" s="1">
        <v>46235</v>
      </c>
    </row>
    <row r="1487" spans="1:6" x14ac:dyDescent="0.3">
      <c r="A1487" t="s">
        <v>22</v>
      </c>
      <c r="B1487" t="s">
        <v>38</v>
      </c>
      <c r="C1487" t="s">
        <v>4</v>
      </c>
      <c r="D1487" t="s">
        <v>84</v>
      </c>
      <c r="E1487">
        <v>90.3</v>
      </c>
      <c r="F1487" s="1">
        <v>46235</v>
      </c>
    </row>
    <row r="1488" spans="1:6" x14ac:dyDescent="0.3">
      <c r="A1488" t="s">
        <v>22</v>
      </c>
      <c r="B1488" t="s">
        <v>38</v>
      </c>
      <c r="C1488" t="s">
        <v>9</v>
      </c>
      <c r="D1488" t="s">
        <v>84</v>
      </c>
      <c r="E1488">
        <v>134.1</v>
      </c>
      <c r="F1488" s="1">
        <v>46235</v>
      </c>
    </row>
    <row r="1489" spans="1:6" x14ac:dyDescent="0.3">
      <c r="A1489" t="s">
        <v>22</v>
      </c>
      <c r="B1489" t="s">
        <v>38</v>
      </c>
      <c r="C1489" t="s">
        <v>6</v>
      </c>
      <c r="D1489" t="s">
        <v>84</v>
      </c>
      <c r="E1489">
        <v>43.8</v>
      </c>
      <c r="F1489" s="1">
        <v>46235</v>
      </c>
    </row>
    <row r="1490" spans="1:6" x14ac:dyDescent="0.3">
      <c r="A1490" t="s">
        <v>28</v>
      </c>
      <c r="B1490" t="s">
        <v>38</v>
      </c>
      <c r="C1490" t="s">
        <v>4</v>
      </c>
      <c r="D1490" t="s">
        <v>84</v>
      </c>
      <c r="E1490">
        <v>159.69999999999999</v>
      </c>
      <c r="F1490" s="1">
        <v>46235</v>
      </c>
    </row>
    <row r="1491" spans="1:6" x14ac:dyDescent="0.3">
      <c r="A1491" t="s">
        <v>28</v>
      </c>
      <c r="B1491" t="s">
        <v>38</v>
      </c>
      <c r="C1491" t="s">
        <v>6</v>
      </c>
      <c r="D1491" t="s">
        <v>84</v>
      </c>
      <c r="E1491">
        <v>98.6</v>
      </c>
      <c r="F1491" s="1">
        <v>46235</v>
      </c>
    </row>
    <row r="1492" spans="1:6" x14ac:dyDescent="0.3">
      <c r="A1492" t="s">
        <v>28</v>
      </c>
      <c r="B1492" t="s">
        <v>38</v>
      </c>
      <c r="C1492" t="s">
        <v>9</v>
      </c>
      <c r="D1492" t="s">
        <v>84</v>
      </c>
      <c r="E1492">
        <v>258.3</v>
      </c>
      <c r="F1492" s="1">
        <v>46235</v>
      </c>
    </row>
    <row r="1493" spans="1:6" x14ac:dyDescent="0.3">
      <c r="A1493" t="s">
        <v>11</v>
      </c>
      <c r="B1493" t="s">
        <v>38</v>
      </c>
      <c r="C1493" t="s">
        <v>6</v>
      </c>
      <c r="D1493" t="s">
        <v>84</v>
      </c>
      <c r="E1493">
        <v>1891.8</v>
      </c>
      <c r="F1493" s="1">
        <v>46235</v>
      </c>
    </row>
    <row r="1494" spans="1:6" x14ac:dyDescent="0.3">
      <c r="A1494" t="s">
        <v>11</v>
      </c>
      <c r="B1494" t="s">
        <v>38</v>
      </c>
      <c r="C1494" t="s">
        <v>4</v>
      </c>
      <c r="D1494" t="s">
        <v>84</v>
      </c>
      <c r="E1494">
        <v>2210.8000000000002</v>
      </c>
      <c r="F1494" s="1">
        <v>46235</v>
      </c>
    </row>
    <row r="1495" spans="1:6" x14ac:dyDescent="0.3">
      <c r="A1495" t="s">
        <v>11</v>
      </c>
      <c r="B1495" t="s">
        <v>38</v>
      </c>
      <c r="C1495" t="s">
        <v>9</v>
      </c>
      <c r="D1495" t="s">
        <v>84</v>
      </c>
      <c r="E1495">
        <v>4102.6000000000004</v>
      </c>
      <c r="F1495" s="1">
        <v>46235</v>
      </c>
    </row>
    <row r="1496" spans="1:6" x14ac:dyDescent="0.3">
      <c r="A1496" t="s">
        <v>29</v>
      </c>
      <c r="B1496" t="s">
        <v>38</v>
      </c>
      <c r="C1496" t="s">
        <v>9</v>
      </c>
      <c r="D1496" t="s">
        <v>84</v>
      </c>
      <c r="E1496">
        <v>151.6</v>
      </c>
      <c r="F1496" s="1">
        <v>46235</v>
      </c>
    </row>
    <row r="1497" spans="1:6" x14ac:dyDescent="0.3">
      <c r="A1497" t="s">
        <v>29</v>
      </c>
      <c r="B1497" t="s">
        <v>38</v>
      </c>
      <c r="C1497" t="s">
        <v>6</v>
      </c>
      <c r="D1497" t="s">
        <v>84</v>
      </c>
      <c r="E1497">
        <v>44.1</v>
      </c>
      <c r="F1497" s="1">
        <v>46235</v>
      </c>
    </row>
    <row r="1498" spans="1:6" x14ac:dyDescent="0.3">
      <c r="A1498" t="s">
        <v>29</v>
      </c>
      <c r="B1498" t="s">
        <v>38</v>
      </c>
      <c r="C1498" t="s">
        <v>4</v>
      </c>
      <c r="D1498" t="s">
        <v>84</v>
      </c>
      <c r="E1498">
        <v>107.5</v>
      </c>
      <c r="F1498" s="1">
        <v>46235</v>
      </c>
    </row>
    <row r="1499" spans="1:6" x14ac:dyDescent="0.3">
      <c r="A1499" t="s">
        <v>24</v>
      </c>
      <c r="B1499" t="s">
        <v>38</v>
      </c>
      <c r="C1499" t="s">
        <v>4</v>
      </c>
      <c r="D1499" t="s">
        <v>84</v>
      </c>
      <c r="E1499">
        <v>0</v>
      </c>
      <c r="F1499" s="1">
        <v>46235</v>
      </c>
    </row>
    <row r="1500" spans="1:6" x14ac:dyDescent="0.3">
      <c r="A1500" t="s">
        <v>24</v>
      </c>
      <c r="B1500" t="s">
        <v>38</v>
      </c>
      <c r="C1500" t="s">
        <v>6</v>
      </c>
      <c r="D1500" t="s">
        <v>84</v>
      </c>
      <c r="E1500">
        <v>0</v>
      </c>
      <c r="F1500" s="1">
        <v>46235</v>
      </c>
    </row>
    <row r="1501" spans="1:6" x14ac:dyDescent="0.3">
      <c r="A1501" t="s">
        <v>24</v>
      </c>
      <c r="B1501" t="s">
        <v>38</v>
      </c>
      <c r="C1501" t="s">
        <v>9</v>
      </c>
      <c r="D1501" t="s">
        <v>84</v>
      </c>
      <c r="E1501">
        <v>28.3</v>
      </c>
      <c r="F1501" s="1">
        <v>46235</v>
      </c>
    </row>
    <row r="1502" spans="1:6" x14ac:dyDescent="0.3">
      <c r="A1502" t="s">
        <v>27</v>
      </c>
      <c r="B1502" t="s">
        <v>38</v>
      </c>
      <c r="C1502" t="s">
        <v>6</v>
      </c>
      <c r="D1502" t="s">
        <v>84</v>
      </c>
      <c r="E1502">
        <v>178</v>
      </c>
      <c r="F1502" s="1">
        <v>46235</v>
      </c>
    </row>
    <row r="1503" spans="1:6" x14ac:dyDescent="0.3">
      <c r="A1503" t="s">
        <v>27</v>
      </c>
      <c r="B1503" t="s">
        <v>38</v>
      </c>
      <c r="C1503" t="s">
        <v>9</v>
      </c>
      <c r="D1503" t="s">
        <v>84</v>
      </c>
      <c r="E1503">
        <v>388.9</v>
      </c>
      <c r="F1503" s="1">
        <v>46235</v>
      </c>
    </row>
    <row r="1504" spans="1:6" x14ac:dyDescent="0.3">
      <c r="A1504" t="s">
        <v>27</v>
      </c>
      <c r="B1504" t="s">
        <v>38</v>
      </c>
      <c r="C1504" t="s">
        <v>4</v>
      </c>
      <c r="D1504" t="s">
        <v>84</v>
      </c>
      <c r="E1504">
        <v>210.9</v>
      </c>
      <c r="F1504" s="1">
        <v>46235</v>
      </c>
    </row>
    <row r="1505" spans="1:6" x14ac:dyDescent="0.3">
      <c r="A1505" t="s">
        <v>26</v>
      </c>
      <c r="B1505" t="s">
        <v>38</v>
      </c>
      <c r="C1505" t="s">
        <v>9</v>
      </c>
      <c r="D1505" t="s">
        <v>84</v>
      </c>
      <c r="E1505">
        <v>311.5</v>
      </c>
      <c r="F1505" s="1">
        <v>46235</v>
      </c>
    </row>
    <row r="1506" spans="1:6" x14ac:dyDescent="0.3">
      <c r="A1506" t="s">
        <v>26</v>
      </c>
      <c r="B1506" t="s">
        <v>38</v>
      </c>
      <c r="C1506" t="s">
        <v>6</v>
      </c>
      <c r="D1506" t="s">
        <v>84</v>
      </c>
      <c r="E1506">
        <v>43.7</v>
      </c>
      <c r="F1506" s="1">
        <v>46235</v>
      </c>
    </row>
    <row r="1507" spans="1:6" x14ac:dyDescent="0.3">
      <c r="A1507" t="s">
        <v>26</v>
      </c>
      <c r="B1507" t="s">
        <v>38</v>
      </c>
      <c r="C1507" t="s">
        <v>4</v>
      </c>
      <c r="D1507" t="s">
        <v>84</v>
      </c>
      <c r="E1507">
        <v>267.8</v>
      </c>
      <c r="F1507" s="1">
        <v>46235</v>
      </c>
    </row>
    <row r="1508" spans="1:6" x14ac:dyDescent="0.3">
      <c r="A1508" t="s">
        <v>25</v>
      </c>
      <c r="B1508" t="s">
        <v>38</v>
      </c>
      <c r="C1508" t="s">
        <v>4</v>
      </c>
      <c r="D1508" t="s">
        <v>84</v>
      </c>
      <c r="E1508">
        <v>4.5999999999999996</v>
      </c>
      <c r="F1508" s="1">
        <v>46235</v>
      </c>
    </row>
    <row r="1509" spans="1:6" x14ac:dyDescent="0.3">
      <c r="A1509" t="s">
        <v>25</v>
      </c>
      <c r="B1509" t="s">
        <v>38</v>
      </c>
      <c r="C1509" t="s">
        <v>6</v>
      </c>
      <c r="D1509" t="s">
        <v>84</v>
      </c>
      <c r="E1509">
        <v>64</v>
      </c>
      <c r="F1509" s="1">
        <v>46235</v>
      </c>
    </row>
    <row r="1510" spans="1:6" x14ac:dyDescent="0.3">
      <c r="A1510" t="s">
        <v>25</v>
      </c>
      <c r="B1510" t="s">
        <v>38</v>
      </c>
      <c r="C1510" t="s">
        <v>9</v>
      </c>
      <c r="D1510" t="s">
        <v>84</v>
      </c>
      <c r="E1510">
        <v>68.599999999999994</v>
      </c>
      <c r="F1510" s="1">
        <v>46235</v>
      </c>
    </row>
    <row r="1511" spans="1:6" x14ac:dyDescent="0.3">
      <c r="A1511" t="s">
        <v>30</v>
      </c>
      <c r="B1511" t="s">
        <v>38</v>
      </c>
      <c r="C1511" t="s">
        <v>6</v>
      </c>
      <c r="D1511" t="s">
        <v>84</v>
      </c>
      <c r="E1511">
        <v>81.400000000000006</v>
      </c>
      <c r="F1511" s="1">
        <v>46235</v>
      </c>
    </row>
    <row r="1512" spans="1:6" x14ac:dyDescent="0.3">
      <c r="A1512" t="s">
        <v>30</v>
      </c>
      <c r="B1512" t="s">
        <v>38</v>
      </c>
      <c r="C1512" t="s">
        <v>9</v>
      </c>
      <c r="D1512" t="s">
        <v>84</v>
      </c>
      <c r="E1512">
        <v>289.60000000000002</v>
      </c>
      <c r="F1512" s="1">
        <v>46235</v>
      </c>
    </row>
    <row r="1513" spans="1:6" x14ac:dyDescent="0.3">
      <c r="A1513" t="s">
        <v>30</v>
      </c>
      <c r="B1513" t="s">
        <v>38</v>
      </c>
      <c r="C1513" t="s">
        <v>4</v>
      </c>
      <c r="D1513" t="s">
        <v>84</v>
      </c>
      <c r="E1513">
        <v>208.2</v>
      </c>
      <c r="F1513" s="1">
        <v>46235</v>
      </c>
    </row>
    <row r="1514" spans="1:6" x14ac:dyDescent="0.3">
      <c r="A1514" t="s">
        <v>15</v>
      </c>
      <c r="B1514" t="s">
        <v>38</v>
      </c>
      <c r="C1514" t="s">
        <v>4</v>
      </c>
      <c r="D1514" t="s">
        <v>83</v>
      </c>
      <c r="E1514">
        <v>11.2</v>
      </c>
      <c r="F1514" s="1">
        <v>45870</v>
      </c>
    </row>
    <row r="1515" spans="1:6" x14ac:dyDescent="0.3">
      <c r="A1515" t="s">
        <v>15</v>
      </c>
      <c r="B1515" t="s">
        <v>38</v>
      </c>
      <c r="C1515" t="s">
        <v>6</v>
      </c>
      <c r="D1515" t="s">
        <v>83</v>
      </c>
      <c r="E1515">
        <v>147.9</v>
      </c>
      <c r="F1515" s="1">
        <v>45870</v>
      </c>
    </row>
    <row r="1516" spans="1:6" x14ac:dyDescent="0.3">
      <c r="A1516" t="s">
        <v>15</v>
      </c>
      <c r="B1516" t="s">
        <v>38</v>
      </c>
      <c r="C1516" t="s">
        <v>9</v>
      </c>
      <c r="D1516" t="s">
        <v>83</v>
      </c>
      <c r="E1516">
        <v>159.1</v>
      </c>
      <c r="F1516" s="1">
        <v>45870</v>
      </c>
    </row>
    <row r="1517" spans="1:6" x14ac:dyDescent="0.3">
      <c r="A1517" t="s">
        <v>7</v>
      </c>
      <c r="B1517" t="s">
        <v>38</v>
      </c>
      <c r="C1517" t="s">
        <v>9</v>
      </c>
      <c r="D1517" t="s">
        <v>83</v>
      </c>
      <c r="E1517">
        <v>189.9</v>
      </c>
      <c r="F1517" s="1">
        <v>45870</v>
      </c>
    </row>
    <row r="1518" spans="1:6" x14ac:dyDescent="0.3">
      <c r="A1518" t="s">
        <v>7</v>
      </c>
      <c r="B1518" t="s">
        <v>38</v>
      </c>
      <c r="C1518" t="s">
        <v>6</v>
      </c>
      <c r="D1518" t="s">
        <v>83</v>
      </c>
      <c r="E1518">
        <v>108.4</v>
      </c>
      <c r="F1518" s="1">
        <v>45870</v>
      </c>
    </row>
    <row r="1519" spans="1:6" x14ac:dyDescent="0.3">
      <c r="A1519" t="s">
        <v>7</v>
      </c>
      <c r="B1519" t="s">
        <v>38</v>
      </c>
      <c r="C1519" t="s">
        <v>4</v>
      </c>
      <c r="D1519" t="s">
        <v>83</v>
      </c>
      <c r="E1519">
        <v>81.5</v>
      </c>
      <c r="F1519" s="1">
        <v>45870</v>
      </c>
    </row>
    <row r="1520" spans="1:6" x14ac:dyDescent="0.3">
      <c r="A1520" t="s">
        <v>10</v>
      </c>
      <c r="B1520" t="s">
        <v>38</v>
      </c>
      <c r="C1520" t="s">
        <v>6</v>
      </c>
      <c r="D1520" t="s">
        <v>83</v>
      </c>
      <c r="E1520">
        <v>193.4</v>
      </c>
      <c r="F1520" s="1">
        <v>45870</v>
      </c>
    </row>
    <row r="1521" spans="1:6" x14ac:dyDescent="0.3">
      <c r="A1521" t="s">
        <v>10</v>
      </c>
      <c r="B1521" t="s">
        <v>38</v>
      </c>
      <c r="C1521" t="s">
        <v>4</v>
      </c>
      <c r="D1521" t="s">
        <v>83</v>
      </c>
      <c r="E1521">
        <v>186.3</v>
      </c>
      <c r="F1521" s="1">
        <v>45870</v>
      </c>
    </row>
    <row r="1522" spans="1:6" x14ac:dyDescent="0.3">
      <c r="A1522" t="s">
        <v>10</v>
      </c>
      <c r="B1522" t="s">
        <v>38</v>
      </c>
      <c r="C1522" t="s">
        <v>9</v>
      </c>
      <c r="D1522" t="s">
        <v>83</v>
      </c>
      <c r="E1522">
        <v>379.7</v>
      </c>
      <c r="F1522" s="1">
        <v>45870</v>
      </c>
    </row>
    <row r="1523" spans="1:6" x14ac:dyDescent="0.3">
      <c r="A1523" t="s">
        <v>5</v>
      </c>
      <c r="B1523" t="s">
        <v>38</v>
      </c>
      <c r="C1523" t="s">
        <v>4</v>
      </c>
      <c r="D1523" t="s">
        <v>83</v>
      </c>
      <c r="E1523">
        <v>43.1</v>
      </c>
      <c r="F1523" s="1">
        <v>45870</v>
      </c>
    </row>
    <row r="1524" spans="1:6" x14ac:dyDescent="0.3">
      <c r="A1524" t="s">
        <v>5</v>
      </c>
      <c r="B1524" t="s">
        <v>38</v>
      </c>
      <c r="C1524" t="s">
        <v>6</v>
      </c>
      <c r="D1524" t="s">
        <v>83</v>
      </c>
      <c r="E1524">
        <v>89.3</v>
      </c>
      <c r="F1524" s="1">
        <v>45870</v>
      </c>
    </row>
    <row r="1525" spans="1:6" x14ac:dyDescent="0.3">
      <c r="A1525" t="s">
        <v>5</v>
      </c>
      <c r="B1525" t="s">
        <v>38</v>
      </c>
      <c r="C1525" t="s">
        <v>9</v>
      </c>
      <c r="D1525" t="s">
        <v>83</v>
      </c>
      <c r="E1525">
        <v>132.4</v>
      </c>
      <c r="F1525" s="1">
        <v>45870</v>
      </c>
    </row>
    <row r="1526" spans="1:6" x14ac:dyDescent="0.3">
      <c r="A1526" t="s">
        <v>3</v>
      </c>
      <c r="B1526" t="s">
        <v>38</v>
      </c>
      <c r="C1526" t="s">
        <v>9</v>
      </c>
      <c r="D1526" t="s">
        <v>83</v>
      </c>
      <c r="E1526">
        <v>11.8</v>
      </c>
      <c r="F1526" s="1">
        <v>45870</v>
      </c>
    </row>
    <row r="1527" spans="1:6" x14ac:dyDescent="0.3">
      <c r="A1527" t="s">
        <v>3</v>
      </c>
      <c r="B1527" t="s">
        <v>38</v>
      </c>
      <c r="C1527" t="s">
        <v>6</v>
      </c>
      <c r="D1527" t="s">
        <v>83</v>
      </c>
      <c r="E1527">
        <v>0</v>
      </c>
      <c r="F1527" s="1">
        <v>45870</v>
      </c>
    </row>
    <row r="1528" spans="1:6" x14ac:dyDescent="0.3">
      <c r="A1528" t="s">
        <v>3</v>
      </c>
      <c r="B1528" t="s">
        <v>38</v>
      </c>
      <c r="C1528" t="s">
        <v>4</v>
      </c>
      <c r="D1528" t="s">
        <v>83</v>
      </c>
      <c r="E1528">
        <v>0</v>
      </c>
      <c r="F1528" s="1">
        <v>45870</v>
      </c>
    </row>
    <row r="1529" spans="1:6" x14ac:dyDescent="0.3">
      <c r="A1529" t="s">
        <v>8</v>
      </c>
      <c r="B1529" t="s">
        <v>38</v>
      </c>
      <c r="C1529" t="s">
        <v>4</v>
      </c>
      <c r="D1529" t="s">
        <v>83</v>
      </c>
      <c r="E1529">
        <v>100.4</v>
      </c>
      <c r="F1529" s="1">
        <v>45870</v>
      </c>
    </row>
    <row r="1530" spans="1:6" x14ac:dyDescent="0.3">
      <c r="A1530" t="s">
        <v>8</v>
      </c>
      <c r="B1530" t="s">
        <v>38</v>
      </c>
      <c r="C1530" t="s">
        <v>6</v>
      </c>
      <c r="D1530" t="s">
        <v>83</v>
      </c>
      <c r="E1530">
        <v>172.7</v>
      </c>
      <c r="F1530" s="1">
        <v>45870</v>
      </c>
    </row>
    <row r="1531" spans="1:6" x14ac:dyDescent="0.3">
      <c r="A1531" t="s">
        <v>8</v>
      </c>
      <c r="B1531" t="s">
        <v>38</v>
      </c>
      <c r="C1531" t="s">
        <v>9</v>
      </c>
      <c r="D1531" t="s">
        <v>83</v>
      </c>
      <c r="E1531">
        <v>273.10000000000002</v>
      </c>
      <c r="F1531" s="1">
        <v>45870</v>
      </c>
    </row>
    <row r="1532" spans="1:6" x14ac:dyDescent="0.3">
      <c r="A1532" t="s">
        <v>13</v>
      </c>
      <c r="B1532" t="s">
        <v>38</v>
      </c>
      <c r="C1532" t="s">
        <v>4</v>
      </c>
      <c r="D1532" t="s">
        <v>83</v>
      </c>
      <c r="E1532">
        <v>0.9</v>
      </c>
      <c r="F1532" s="1">
        <v>45870</v>
      </c>
    </row>
    <row r="1533" spans="1:6" x14ac:dyDescent="0.3">
      <c r="A1533" t="s">
        <v>13</v>
      </c>
      <c r="B1533" t="s">
        <v>38</v>
      </c>
      <c r="C1533" t="s">
        <v>9</v>
      </c>
      <c r="D1533" t="s">
        <v>83</v>
      </c>
      <c r="E1533">
        <v>152.9</v>
      </c>
      <c r="F1533" s="1">
        <v>45870</v>
      </c>
    </row>
    <row r="1534" spans="1:6" x14ac:dyDescent="0.3">
      <c r="A1534" t="s">
        <v>13</v>
      </c>
      <c r="B1534" t="s">
        <v>38</v>
      </c>
      <c r="C1534" t="s">
        <v>6</v>
      </c>
      <c r="D1534" t="s">
        <v>83</v>
      </c>
      <c r="E1534">
        <v>152</v>
      </c>
      <c r="F1534" s="1">
        <v>45870</v>
      </c>
    </row>
    <row r="1535" spans="1:6" x14ac:dyDescent="0.3">
      <c r="A1535" t="s">
        <v>14</v>
      </c>
      <c r="B1535" t="s">
        <v>38</v>
      </c>
      <c r="C1535" t="s">
        <v>9</v>
      </c>
      <c r="D1535" t="s">
        <v>83</v>
      </c>
      <c r="E1535">
        <v>12</v>
      </c>
      <c r="F1535" s="1">
        <v>45870</v>
      </c>
    </row>
    <row r="1536" spans="1:6" x14ac:dyDescent="0.3">
      <c r="A1536" t="s">
        <v>14</v>
      </c>
      <c r="B1536" t="s">
        <v>38</v>
      </c>
      <c r="C1536" t="s">
        <v>4</v>
      </c>
      <c r="D1536" t="s">
        <v>83</v>
      </c>
      <c r="E1536">
        <v>2.5</v>
      </c>
      <c r="F1536" s="1">
        <v>45870</v>
      </c>
    </row>
    <row r="1537" spans="1:6" x14ac:dyDescent="0.3">
      <c r="A1537" t="s">
        <v>14</v>
      </c>
      <c r="B1537" t="s">
        <v>38</v>
      </c>
      <c r="C1537" t="s">
        <v>6</v>
      </c>
      <c r="D1537" t="s">
        <v>83</v>
      </c>
      <c r="E1537">
        <v>9.5</v>
      </c>
      <c r="F1537" s="1">
        <v>45870</v>
      </c>
    </row>
    <row r="1538" spans="1:6" x14ac:dyDescent="0.3">
      <c r="A1538" t="s">
        <v>12</v>
      </c>
      <c r="B1538" t="s">
        <v>38</v>
      </c>
      <c r="C1538" t="s">
        <v>9</v>
      </c>
      <c r="D1538" t="s">
        <v>83</v>
      </c>
      <c r="E1538">
        <v>225.3</v>
      </c>
      <c r="F1538" s="1">
        <v>45870</v>
      </c>
    </row>
    <row r="1539" spans="1:6" x14ac:dyDescent="0.3">
      <c r="A1539" t="s">
        <v>12</v>
      </c>
      <c r="B1539" t="s">
        <v>38</v>
      </c>
      <c r="C1539" t="s">
        <v>4</v>
      </c>
      <c r="D1539" t="s">
        <v>83</v>
      </c>
      <c r="E1539">
        <v>186.9</v>
      </c>
      <c r="F1539" s="1">
        <v>45870</v>
      </c>
    </row>
    <row r="1540" spans="1:6" x14ac:dyDescent="0.3">
      <c r="A1540" t="s">
        <v>12</v>
      </c>
      <c r="B1540" t="s">
        <v>38</v>
      </c>
      <c r="C1540" t="s">
        <v>6</v>
      </c>
      <c r="D1540" t="s">
        <v>83</v>
      </c>
      <c r="E1540">
        <v>38.4</v>
      </c>
      <c r="F1540" s="1">
        <v>45870</v>
      </c>
    </row>
    <row r="1541" spans="1:6" x14ac:dyDescent="0.3">
      <c r="A1541" t="s">
        <v>16</v>
      </c>
      <c r="B1541" t="s">
        <v>38</v>
      </c>
      <c r="C1541" t="s">
        <v>6</v>
      </c>
      <c r="D1541" t="s">
        <v>83</v>
      </c>
      <c r="E1541">
        <v>118</v>
      </c>
      <c r="F1541" s="1">
        <v>45870</v>
      </c>
    </row>
    <row r="1542" spans="1:6" x14ac:dyDescent="0.3">
      <c r="A1542" t="s">
        <v>16</v>
      </c>
      <c r="B1542" t="s">
        <v>38</v>
      </c>
      <c r="C1542" t="s">
        <v>4</v>
      </c>
      <c r="D1542" t="s">
        <v>83</v>
      </c>
      <c r="E1542">
        <v>53</v>
      </c>
      <c r="F1542" s="1">
        <v>45870</v>
      </c>
    </row>
    <row r="1543" spans="1:6" x14ac:dyDescent="0.3">
      <c r="A1543" t="s">
        <v>16</v>
      </c>
      <c r="B1543" t="s">
        <v>38</v>
      </c>
      <c r="C1543" t="s">
        <v>9</v>
      </c>
      <c r="D1543" t="s">
        <v>83</v>
      </c>
      <c r="E1543">
        <v>171</v>
      </c>
      <c r="F1543" s="1">
        <v>45870</v>
      </c>
    </row>
    <row r="1544" spans="1:6" x14ac:dyDescent="0.3">
      <c r="A1544" t="s">
        <v>17</v>
      </c>
      <c r="B1544" t="s">
        <v>38</v>
      </c>
      <c r="C1544" t="s">
        <v>9</v>
      </c>
      <c r="D1544" t="s">
        <v>83</v>
      </c>
      <c r="E1544">
        <v>33.299999999999997</v>
      </c>
      <c r="F1544" s="1">
        <v>45870</v>
      </c>
    </row>
    <row r="1545" spans="1:6" x14ac:dyDescent="0.3">
      <c r="A1545" t="s">
        <v>17</v>
      </c>
      <c r="B1545" t="s">
        <v>38</v>
      </c>
      <c r="C1545" t="s">
        <v>4</v>
      </c>
      <c r="D1545" t="s">
        <v>83</v>
      </c>
      <c r="E1545">
        <v>0</v>
      </c>
      <c r="F1545" s="1">
        <v>45870</v>
      </c>
    </row>
    <row r="1546" spans="1:6" x14ac:dyDescent="0.3">
      <c r="A1546" t="s">
        <v>17</v>
      </c>
      <c r="B1546" t="s">
        <v>38</v>
      </c>
      <c r="C1546" t="s">
        <v>6</v>
      </c>
      <c r="D1546" t="s">
        <v>83</v>
      </c>
      <c r="E1546">
        <v>0</v>
      </c>
      <c r="F1546" s="1">
        <v>45870</v>
      </c>
    </row>
    <row r="1547" spans="1:6" x14ac:dyDescent="0.3">
      <c r="A1547" t="s">
        <v>21</v>
      </c>
      <c r="B1547" t="s">
        <v>38</v>
      </c>
      <c r="C1547" t="s">
        <v>4</v>
      </c>
      <c r="D1547" t="s">
        <v>83</v>
      </c>
      <c r="E1547">
        <v>22.7</v>
      </c>
      <c r="F1547" s="1">
        <v>45870</v>
      </c>
    </row>
    <row r="1548" spans="1:6" x14ac:dyDescent="0.3">
      <c r="A1548" t="s">
        <v>21</v>
      </c>
      <c r="B1548" t="s">
        <v>38</v>
      </c>
      <c r="C1548" t="s">
        <v>9</v>
      </c>
      <c r="D1548" t="s">
        <v>83</v>
      </c>
      <c r="E1548">
        <v>196.1</v>
      </c>
      <c r="F1548" s="1">
        <v>45870</v>
      </c>
    </row>
    <row r="1549" spans="1:6" x14ac:dyDescent="0.3">
      <c r="A1549" t="s">
        <v>21</v>
      </c>
      <c r="B1549" t="s">
        <v>38</v>
      </c>
      <c r="C1549" t="s">
        <v>6</v>
      </c>
      <c r="D1549" t="s">
        <v>83</v>
      </c>
      <c r="E1549">
        <v>173.4</v>
      </c>
      <c r="F1549" s="1">
        <v>45870</v>
      </c>
    </row>
    <row r="1550" spans="1:6" x14ac:dyDescent="0.3">
      <c r="A1550" t="s">
        <v>19</v>
      </c>
      <c r="B1550" t="s">
        <v>38</v>
      </c>
      <c r="C1550" t="s">
        <v>4</v>
      </c>
      <c r="D1550" t="s">
        <v>83</v>
      </c>
      <c r="E1550">
        <v>49</v>
      </c>
      <c r="F1550" s="1">
        <v>45870</v>
      </c>
    </row>
    <row r="1551" spans="1:6" x14ac:dyDescent="0.3">
      <c r="A1551" t="s">
        <v>19</v>
      </c>
      <c r="B1551" t="s">
        <v>38</v>
      </c>
      <c r="C1551" t="s">
        <v>6</v>
      </c>
      <c r="D1551" t="s">
        <v>83</v>
      </c>
      <c r="E1551">
        <v>84.6</v>
      </c>
      <c r="F1551" s="1">
        <v>45870</v>
      </c>
    </row>
    <row r="1552" spans="1:6" x14ac:dyDescent="0.3">
      <c r="A1552" t="s">
        <v>19</v>
      </c>
      <c r="B1552" t="s">
        <v>38</v>
      </c>
      <c r="C1552" t="s">
        <v>9</v>
      </c>
      <c r="D1552" t="s">
        <v>83</v>
      </c>
      <c r="E1552">
        <v>133.6</v>
      </c>
      <c r="F1552" s="1">
        <v>45870</v>
      </c>
    </row>
    <row r="1553" spans="1:6" x14ac:dyDescent="0.3">
      <c r="A1553" t="s">
        <v>20</v>
      </c>
      <c r="B1553" t="s">
        <v>38</v>
      </c>
      <c r="C1553" t="s">
        <v>4</v>
      </c>
      <c r="D1553" t="s">
        <v>83</v>
      </c>
      <c r="E1553">
        <v>15.7</v>
      </c>
      <c r="F1553" s="1">
        <v>45870</v>
      </c>
    </row>
    <row r="1554" spans="1:6" x14ac:dyDescent="0.3">
      <c r="A1554" t="s">
        <v>20</v>
      </c>
      <c r="B1554" t="s">
        <v>38</v>
      </c>
      <c r="C1554" t="s">
        <v>9</v>
      </c>
      <c r="D1554" t="s">
        <v>83</v>
      </c>
      <c r="E1554">
        <v>190.6</v>
      </c>
      <c r="F1554" s="1">
        <v>45870</v>
      </c>
    </row>
    <row r="1555" spans="1:6" x14ac:dyDescent="0.3">
      <c r="A1555" t="s">
        <v>20</v>
      </c>
      <c r="B1555" t="s">
        <v>38</v>
      </c>
      <c r="C1555" t="s">
        <v>6</v>
      </c>
      <c r="D1555" t="s">
        <v>83</v>
      </c>
      <c r="E1555">
        <v>174.9</v>
      </c>
      <c r="F1555" s="1">
        <v>45870</v>
      </c>
    </row>
    <row r="1556" spans="1:6" x14ac:dyDescent="0.3">
      <c r="A1556" t="s">
        <v>18</v>
      </c>
      <c r="B1556" t="s">
        <v>38</v>
      </c>
      <c r="C1556" t="s">
        <v>6</v>
      </c>
      <c r="D1556" t="s">
        <v>83</v>
      </c>
      <c r="E1556">
        <v>132.30000000000001</v>
      </c>
      <c r="F1556" s="1">
        <v>45870</v>
      </c>
    </row>
    <row r="1557" spans="1:6" x14ac:dyDescent="0.3">
      <c r="A1557" t="s">
        <v>18</v>
      </c>
      <c r="B1557" t="s">
        <v>38</v>
      </c>
      <c r="C1557" t="s">
        <v>9</v>
      </c>
      <c r="D1557" t="s">
        <v>83</v>
      </c>
      <c r="E1557">
        <v>451.6</v>
      </c>
      <c r="F1557" s="1">
        <v>45870</v>
      </c>
    </row>
    <row r="1558" spans="1:6" x14ac:dyDescent="0.3">
      <c r="A1558" t="s">
        <v>18</v>
      </c>
      <c r="B1558" t="s">
        <v>38</v>
      </c>
      <c r="C1558" t="s">
        <v>4</v>
      </c>
      <c r="D1558" t="s">
        <v>83</v>
      </c>
      <c r="E1558">
        <v>319.3</v>
      </c>
      <c r="F1558" s="1">
        <v>45870</v>
      </c>
    </row>
    <row r="1559" spans="1:6" x14ac:dyDescent="0.3">
      <c r="A1559" t="s">
        <v>23</v>
      </c>
      <c r="B1559" t="s">
        <v>38</v>
      </c>
      <c r="C1559" t="s">
        <v>9</v>
      </c>
      <c r="D1559" t="s">
        <v>83</v>
      </c>
      <c r="E1559">
        <v>176.9</v>
      </c>
      <c r="F1559" s="1">
        <v>45870</v>
      </c>
    </row>
    <row r="1560" spans="1:6" x14ac:dyDescent="0.3">
      <c r="A1560" t="s">
        <v>23</v>
      </c>
      <c r="B1560" t="s">
        <v>38</v>
      </c>
      <c r="C1560" t="s">
        <v>4</v>
      </c>
      <c r="D1560" t="s">
        <v>83</v>
      </c>
      <c r="E1560">
        <v>40</v>
      </c>
      <c r="F1560" s="1">
        <v>45870</v>
      </c>
    </row>
    <row r="1561" spans="1:6" x14ac:dyDescent="0.3">
      <c r="A1561" t="s">
        <v>23</v>
      </c>
      <c r="B1561" t="s">
        <v>38</v>
      </c>
      <c r="C1561" t="s">
        <v>6</v>
      </c>
      <c r="D1561" t="s">
        <v>83</v>
      </c>
      <c r="E1561">
        <v>136.9</v>
      </c>
      <c r="F1561" s="1">
        <v>45870</v>
      </c>
    </row>
    <row r="1562" spans="1:6" x14ac:dyDescent="0.3">
      <c r="A1562" t="s">
        <v>22</v>
      </c>
      <c r="B1562" t="s">
        <v>38</v>
      </c>
      <c r="C1562" t="s">
        <v>4</v>
      </c>
      <c r="D1562" t="s">
        <v>83</v>
      </c>
      <c r="E1562">
        <v>101.3</v>
      </c>
      <c r="F1562" s="1">
        <v>45870</v>
      </c>
    </row>
    <row r="1563" spans="1:6" x14ac:dyDescent="0.3">
      <c r="A1563" t="s">
        <v>22</v>
      </c>
      <c r="B1563" t="s">
        <v>38</v>
      </c>
      <c r="C1563" t="s">
        <v>9</v>
      </c>
      <c r="D1563" t="s">
        <v>83</v>
      </c>
      <c r="E1563">
        <v>162.5</v>
      </c>
      <c r="F1563" s="1">
        <v>45870</v>
      </c>
    </row>
    <row r="1564" spans="1:6" x14ac:dyDescent="0.3">
      <c r="A1564" t="s">
        <v>22</v>
      </c>
      <c r="B1564" t="s">
        <v>38</v>
      </c>
      <c r="C1564" t="s">
        <v>6</v>
      </c>
      <c r="D1564" t="s">
        <v>83</v>
      </c>
      <c r="E1564">
        <v>61.2</v>
      </c>
      <c r="F1564" s="1">
        <v>45870</v>
      </c>
    </row>
    <row r="1565" spans="1:6" x14ac:dyDescent="0.3">
      <c r="A1565" t="s">
        <v>28</v>
      </c>
      <c r="B1565" t="s">
        <v>38</v>
      </c>
      <c r="C1565" t="s">
        <v>4</v>
      </c>
      <c r="D1565" t="s">
        <v>83</v>
      </c>
      <c r="E1565">
        <v>138.6</v>
      </c>
      <c r="F1565" s="1">
        <v>45870</v>
      </c>
    </row>
    <row r="1566" spans="1:6" x14ac:dyDescent="0.3">
      <c r="A1566" t="s">
        <v>28</v>
      </c>
      <c r="B1566" t="s">
        <v>38</v>
      </c>
      <c r="C1566" t="s">
        <v>6</v>
      </c>
      <c r="D1566" t="s">
        <v>83</v>
      </c>
      <c r="E1566">
        <v>192</v>
      </c>
      <c r="F1566" s="1">
        <v>45870</v>
      </c>
    </row>
    <row r="1567" spans="1:6" x14ac:dyDescent="0.3">
      <c r="A1567" t="s">
        <v>28</v>
      </c>
      <c r="B1567" t="s">
        <v>38</v>
      </c>
      <c r="C1567" t="s">
        <v>9</v>
      </c>
      <c r="D1567" t="s">
        <v>83</v>
      </c>
      <c r="E1567">
        <v>330.6</v>
      </c>
      <c r="F1567" s="1">
        <v>45870</v>
      </c>
    </row>
    <row r="1568" spans="1:6" x14ac:dyDescent="0.3">
      <c r="A1568" t="s">
        <v>11</v>
      </c>
      <c r="B1568" t="s">
        <v>38</v>
      </c>
      <c r="C1568" t="s">
        <v>6</v>
      </c>
      <c r="D1568" t="s">
        <v>83</v>
      </c>
      <c r="E1568">
        <v>2592.1</v>
      </c>
      <c r="F1568" s="1">
        <v>45870</v>
      </c>
    </row>
    <row r="1569" spans="1:6" x14ac:dyDescent="0.3">
      <c r="A1569" t="s">
        <v>11</v>
      </c>
      <c r="B1569" t="s">
        <v>38</v>
      </c>
      <c r="C1569" t="s">
        <v>4</v>
      </c>
      <c r="D1569" t="s">
        <v>83</v>
      </c>
      <c r="E1569">
        <v>2106</v>
      </c>
      <c r="F1569" s="1">
        <v>45870</v>
      </c>
    </row>
    <row r="1570" spans="1:6" x14ac:dyDescent="0.3">
      <c r="A1570" t="s">
        <v>11</v>
      </c>
      <c r="B1570" t="s">
        <v>38</v>
      </c>
      <c r="C1570" t="s">
        <v>9</v>
      </c>
      <c r="D1570" t="s">
        <v>83</v>
      </c>
      <c r="E1570">
        <v>4698.1000000000004</v>
      </c>
      <c r="F1570" s="1">
        <v>45870</v>
      </c>
    </row>
    <row r="1571" spans="1:6" x14ac:dyDescent="0.3">
      <c r="A1571" t="s">
        <v>29</v>
      </c>
      <c r="B1571" t="s">
        <v>38</v>
      </c>
      <c r="C1571" t="s">
        <v>9</v>
      </c>
      <c r="D1571" t="s">
        <v>83</v>
      </c>
      <c r="E1571">
        <v>137.1</v>
      </c>
      <c r="F1571" s="1">
        <v>45870</v>
      </c>
    </row>
    <row r="1572" spans="1:6" x14ac:dyDescent="0.3">
      <c r="A1572" t="s">
        <v>29</v>
      </c>
      <c r="B1572" t="s">
        <v>38</v>
      </c>
      <c r="C1572" t="s">
        <v>6</v>
      </c>
      <c r="D1572" t="s">
        <v>83</v>
      </c>
      <c r="E1572">
        <v>47.2</v>
      </c>
      <c r="F1572" s="1">
        <v>45870</v>
      </c>
    </row>
    <row r="1573" spans="1:6" x14ac:dyDescent="0.3">
      <c r="A1573" t="s">
        <v>29</v>
      </c>
      <c r="B1573" t="s">
        <v>38</v>
      </c>
      <c r="C1573" t="s">
        <v>4</v>
      </c>
      <c r="D1573" t="s">
        <v>83</v>
      </c>
      <c r="E1573">
        <v>89.9</v>
      </c>
      <c r="F1573" s="1">
        <v>45870</v>
      </c>
    </row>
    <row r="1574" spans="1:6" x14ac:dyDescent="0.3">
      <c r="A1574" t="s">
        <v>24</v>
      </c>
      <c r="B1574" t="s">
        <v>38</v>
      </c>
      <c r="C1574" t="s">
        <v>4</v>
      </c>
      <c r="D1574" t="s">
        <v>83</v>
      </c>
      <c r="E1574">
        <v>0</v>
      </c>
      <c r="F1574" s="1">
        <v>45870</v>
      </c>
    </row>
    <row r="1575" spans="1:6" x14ac:dyDescent="0.3">
      <c r="A1575" t="s">
        <v>24</v>
      </c>
      <c r="B1575" t="s">
        <v>38</v>
      </c>
      <c r="C1575" t="s">
        <v>6</v>
      </c>
      <c r="D1575" t="s">
        <v>83</v>
      </c>
      <c r="E1575">
        <v>0</v>
      </c>
      <c r="F1575" s="1">
        <v>45870</v>
      </c>
    </row>
    <row r="1576" spans="1:6" x14ac:dyDescent="0.3">
      <c r="A1576" t="s">
        <v>24</v>
      </c>
      <c r="B1576" t="s">
        <v>38</v>
      </c>
      <c r="C1576" t="s">
        <v>9</v>
      </c>
      <c r="D1576" t="s">
        <v>83</v>
      </c>
      <c r="E1576">
        <v>35.700000000000003</v>
      </c>
      <c r="F1576" s="1">
        <v>45870</v>
      </c>
    </row>
    <row r="1577" spans="1:6" x14ac:dyDescent="0.3">
      <c r="A1577" t="s">
        <v>27</v>
      </c>
      <c r="B1577" t="s">
        <v>38</v>
      </c>
      <c r="C1577" t="s">
        <v>6</v>
      </c>
      <c r="D1577" t="s">
        <v>83</v>
      </c>
      <c r="E1577">
        <v>246</v>
      </c>
      <c r="F1577" s="1">
        <v>45870</v>
      </c>
    </row>
    <row r="1578" spans="1:6" x14ac:dyDescent="0.3">
      <c r="A1578" t="s">
        <v>27</v>
      </c>
      <c r="B1578" t="s">
        <v>38</v>
      </c>
      <c r="C1578" t="s">
        <v>9</v>
      </c>
      <c r="D1578" t="s">
        <v>83</v>
      </c>
      <c r="E1578">
        <v>455.2</v>
      </c>
      <c r="F1578" s="1">
        <v>45870</v>
      </c>
    </row>
    <row r="1579" spans="1:6" x14ac:dyDescent="0.3">
      <c r="A1579" t="s">
        <v>27</v>
      </c>
      <c r="B1579" t="s">
        <v>38</v>
      </c>
      <c r="C1579" t="s">
        <v>4</v>
      </c>
      <c r="D1579" t="s">
        <v>83</v>
      </c>
      <c r="E1579">
        <v>209.2</v>
      </c>
      <c r="F1579" s="1">
        <v>45870</v>
      </c>
    </row>
    <row r="1580" spans="1:6" x14ac:dyDescent="0.3">
      <c r="A1580" t="s">
        <v>26</v>
      </c>
      <c r="B1580" t="s">
        <v>38</v>
      </c>
      <c r="C1580" t="s">
        <v>9</v>
      </c>
      <c r="D1580" t="s">
        <v>83</v>
      </c>
      <c r="E1580">
        <v>309.10000000000002</v>
      </c>
      <c r="F1580" s="1">
        <v>45870</v>
      </c>
    </row>
    <row r="1581" spans="1:6" x14ac:dyDescent="0.3">
      <c r="A1581" t="s">
        <v>26</v>
      </c>
      <c r="B1581" t="s">
        <v>38</v>
      </c>
      <c r="C1581" t="s">
        <v>6</v>
      </c>
      <c r="D1581" t="s">
        <v>83</v>
      </c>
      <c r="E1581">
        <v>50.5</v>
      </c>
      <c r="F1581" s="1">
        <v>45870</v>
      </c>
    </row>
    <row r="1582" spans="1:6" x14ac:dyDescent="0.3">
      <c r="A1582" t="s">
        <v>26</v>
      </c>
      <c r="B1582" t="s">
        <v>38</v>
      </c>
      <c r="C1582" t="s">
        <v>4</v>
      </c>
      <c r="D1582" t="s">
        <v>83</v>
      </c>
      <c r="E1582">
        <v>258.60000000000002</v>
      </c>
      <c r="F1582" s="1">
        <v>45870</v>
      </c>
    </row>
    <row r="1583" spans="1:6" x14ac:dyDescent="0.3">
      <c r="A1583" t="s">
        <v>25</v>
      </c>
      <c r="B1583" t="s">
        <v>38</v>
      </c>
      <c r="C1583" t="s">
        <v>4</v>
      </c>
      <c r="D1583" t="s">
        <v>83</v>
      </c>
      <c r="E1583">
        <v>5.7</v>
      </c>
      <c r="F1583" s="1">
        <v>45870</v>
      </c>
    </row>
    <row r="1584" spans="1:6" x14ac:dyDescent="0.3">
      <c r="A1584" t="s">
        <v>25</v>
      </c>
      <c r="B1584" t="s">
        <v>38</v>
      </c>
      <c r="C1584" t="s">
        <v>6</v>
      </c>
      <c r="D1584" t="s">
        <v>83</v>
      </c>
      <c r="E1584">
        <v>95.8</v>
      </c>
      <c r="F1584" s="1">
        <v>45870</v>
      </c>
    </row>
    <row r="1585" spans="1:6" x14ac:dyDescent="0.3">
      <c r="A1585" t="s">
        <v>25</v>
      </c>
      <c r="B1585" t="s">
        <v>38</v>
      </c>
      <c r="C1585" t="s">
        <v>9</v>
      </c>
      <c r="D1585" t="s">
        <v>83</v>
      </c>
      <c r="E1585">
        <v>101.5</v>
      </c>
      <c r="F1585" s="1">
        <v>45870</v>
      </c>
    </row>
    <row r="1586" spans="1:6" x14ac:dyDescent="0.3">
      <c r="A1586" t="s">
        <v>30</v>
      </c>
      <c r="B1586" t="s">
        <v>38</v>
      </c>
      <c r="C1586" t="s">
        <v>6</v>
      </c>
      <c r="D1586" t="s">
        <v>83</v>
      </c>
      <c r="E1586">
        <v>88.5</v>
      </c>
      <c r="F1586" s="1">
        <v>45870</v>
      </c>
    </row>
    <row r="1587" spans="1:6" x14ac:dyDescent="0.3">
      <c r="A1587" t="s">
        <v>30</v>
      </c>
      <c r="B1587" t="s">
        <v>38</v>
      </c>
      <c r="C1587" t="s">
        <v>9</v>
      </c>
      <c r="D1587" t="s">
        <v>83</v>
      </c>
      <c r="E1587">
        <v>277.10000000000002</v>
      </c>
      <c r="F1587" s="1">
        <v>45870</v>
      </c>
    </row>
    <row r="1588" spans="1:6" x14ac:dyDescent="0.3">
      <c r="A1588" t="s">
        <v>30</v>
      </c>
      <c r="B1588" t="s">
        <v>38</v>
      </c>
      <c r="C1588" t="s">
        <v>4</v>
      </c>
      <c r="D1588" t="s">
        <v>83</v>
      </c>
      <c r="E1588">
        <v>188.6</v>
      </c>
      <c r="F1588" s="1">
        <v>45870</v>
      </c>
    </row>
    <row r="1589" spans="1:6" x14ac:dyDescent="0.3">
      <c r="A1589" t="s">
        <v>15</v>
      </c>
      <c r="B1589" t="s">
        <v>38</v>
      </c>
      <c r="C1589" t="s">
        <v>4</v>
      </c>
      <c r="D1589" t="s">
        <v>85</v>
      </c>
      <c r="E1589" s="17">
        <v>14.6</v>
      </c>
      <c r="F1589" s="1">
        <v>46266</v>
      </c>
    </row>
    <row r="1590" spans="1:6" x14ac:dyDescent="0.3">
      <c r="A1590" t="s">
        <v>15</v>
      </c>
      <c r="B1590" t="s">
        <v>38</v>
      </c>
      <c r="C1590" t="s">
        <v>6</v>
      </c>
      <c r="D1590" t="s">
        <v>85</v>
      </c>
      <c r="E1590" s="17">
        <v>127.9</v>
      </c>
      <c r="F1590" s="1">
        <v>46266</v>
      </c>
    </row>
    <row r="1591" spans="1:6" x14ac:dyDescent="0.3">
      <c r="A1591" t="s">
        <v>15</v>
      </c>
      <c r="B1591" t="s">
        <v>38</v>
      </c>
      <c r="C1591" t="s">
        <v>9</v>
      </c>
      <c r="D1591" t="s">
        <v>85</v>
      </c>
      <c r="E1591" s="17">
        <v>142.5</v>
      </c>
      <c r="F1591" s="1">
        <v>46266</v>
      </c>
    </row>
    <row r="1592" spans="1:6" x14ac:dyDescent="0.3">
      <c r="A1592" t="s">
        <v>7</v>
      </c>
      <c r="B1592" t="s">
        <v>38</v>
      </c>
      <c r="C1592" t="s">
        <v>9</v>
      </c>
      <c r="D1592" t="s">
        <v>85</v>
      </c>
      <c r="E1592" s="17">
        <v>189.1</v>
      </c>
      <c r="F1592" s="1">
        <v>46266</v>
      </c>
    </row>
    <row r="1593" spans="1:6" x14ac:dyDescent="0.3">
      <c r="A1593" t="s">
        <v>7</v>
      </c>
      <c r="B1593" t="s">
        <v>38</v>
      </c>
      <c r="C1593" t="s">
        <v>6</v>
      </c>
      <c r="D1593" t="s">
        <v>85</v>
      </c>
      <c r="E1593" s="17">
        <v>94.4</v>
      </c>
      <c r="F1593" s="1">
        <v>46266</v>
      </c>
    </row>
    <row r="1594" spans="1:6" x14ac:dyDescent="0.3">
      <c r="A1594" t="s">
        <v>7</v>
      </c>
      <c r="B1594" t="s">
        <v>38</v>
      </c>
      <c r="C1594" t="s">
        <v>4</v>
      </c>
      <c r="D1594" t="s">
        <v>85</v>
      </c>
      <c r="E1594" s="17">
        <v>94.7</v>
      </c>
      <c r="F1594" s="1">
        <v>46266</v>
      </c>
    </row>
    <row r="1595" spans="1:6" x14ac:dyDescent="0.3">
      <c r="A1595" t="s">
        <v>10</v>
      </c>
      <c r="B1595" t="s">
        <v>38</v>
      </c>
      <c r="C1595" t="s">
        <v>6</v>
      </c>
      <c r="D1595" t="s">
        <v>85</v>
      </c>
      <c r="E1595" s="17">
        <v>191.3</v>
      </c>
      <c r="F1595" s="1">
        <v>46266</v>
      </c>
    </row>
    <row r="1596" spans="1:6" x14ac:dyDescent="0.3">
      <c r="A1596" t="s">
        <v>10</v>
      </c>
      <c r="B1596" t="s">
        <v>38</v>
      </c>
      <c r="C1596" t="s">
        <v>4</v>
      </c>
      <c r="D1596" t="s">
        <v>85</v>
      </c>
      <c r="E1596" s="17">
        <v>223.1</v>
      </c>
      <c r="F1596" s="1">
        <v>46266</v>
      </c>
    </row>
    <row r="1597" spans="1:6" x14ac:dyDescent="0.3">
      <c r="A1597" t="s">
        <v>10</v>
      </c>
      <c r="B1597" t="s">
        <v>38</v>
      </c>
      <c r="C1597" t="s">
        <v>9</v>
      </c>
      <c r="D1597" t="s">
        <v>85</v>
      </c>
      <c r="E1597" s="17">
        <v>414.4</v>
      </c>
      <c r="F1597" s="1">
        <v>46266</v>
      </c>
    </row>
    <row r="1598" spans="1:6" x14ac:dyDescent="0.3">
      <c r="A1598" t="s">
        <v>5</v>
      </c>
      <c r="B1598" t="s">
        <v>38</v>
      </c>
      <c r="C1598" t="s">
        <v>4</v>
      </c>
      <c r="D1598" t="s">
        <v>85</v>
      </c>
      <c r="E1598" s="17">
        <v>40.700000000000003</v>
      </c>
      <c r="F1598" s="1">
        <v>46266</v>
      </c>
    </row>
    <row r="1599" spans="1:6" x14ac:dyDescent="0.3">
      <c r="A1599" t="s">
        <v>5</v>
      </c>
      <c r="B1599" t="s">
        <v>38</v>
      </c>
      <c r="C1599" t="s">
        <v>6</v>
      </c>
      <c r="D1599" t="s">
        <v>85</v>
      </c>
      <c r="E1599" s="17">
        <v>85.1</v>
      </c>
      <c r="F1599" s="1">
        <v>46266</v>
      </c>
    </row>
    <row r="1600" spans="1:6" x14ac:dyDescent="0.3">
      <c r="A1600" t="s">
        <v>5</v>
      </c>
      <c r="B1600" t="s">
        <v>38</v>
      </c>
      <c r="C1600" t="s">
        <v>9</v>
      </c>
      <c r="D1600" t="s">
        <v>85</v>
      </c>
      <c r="E1600" s="17">
        <v>125.8</v>
      </c>
      <c r="F1600" s="1">
        <v>46266</v>
      </c>
    </row>
    <row r="1601" spans="1:6" x14ac:dyDescent="0.3">
      <c r="A1601" t="s">
        <v>3</v>
      </c>
      <c r="B1601" t="s">
        <v>38</v>
      </c>
      <c r="C1601" t="s">
        <v>9</v>
      </c>
      <c r="D1601" t="s">
        <v>85</v>
      </c>
      <c r="E1601" s="17">
        <v>4.5</v>
      </c>
      <c r="F1601" s="1">
        <v>46266</v>
      </c>
    </row>
    <row r="1602" spans="1:6" x14ac:dyDescent="0.3">
      <c r="A1602" t="s">
        <v>3</v>
      </c>
      <c r="B1602" t="s">
        <v>38</v>
      </c>
      <c r="C1602" t="s">
        <v>6</v>
      </c>
      <c r="D1602" t="s">
        <v>85</v>
      </c>
      <c r="E1602" s="17">
        <v>0</v>
      </c>
      <c r="F1602" s="1">
        <v>46266</v>
      </c>
    </row>
    <row r="1603" spans="1:6" x14ac:dyDescent="0.3">
      <c r="A1603" t="s">
        <v>3</v>
      </c>
      <c r="B1603" t="s">
        <v>38</v>
      </c>
      <c r="C1603" t="s">
        <v>4</v>
      </c>
      <c r="D1603" t="s">
        <v>85</v>
      </c>
      <c r="E1603" s="17">
        <v>0</v>
      </c>
      <c r="F1603" s="1">
        <v>46266</v>
      </c>
    </row>
    <row r="1604" spans="1:6" x14ac:dyDescent="0.3">
      <c r="A1604" t="s">
        <v>8</v>
      </c>
      <c r="B1604" t="s">
        <v>38</v>
      </c>
      <c r="C1604" t="s">
        <v>4</v>
      </c>
      <c r="D1604" t="s">
        <v>85</v>
      </c>
      <c r="E1604" s="17">
        <v>129.19999999999999</v>
      </c>
      <c r="F1604" s="1">
        <v>46266</v>
      </c>
    </row>
    <row r="1605" spans="1:6" x14ac:dyDescent="0.3">
      <c r="A1605" t="s">
        <v>8</v>
      </c>
      <c r="B1605" t="s">
        <v>38</v>
      </c>
      <c r="C1605" t="s">
        <v>6</v>
      </c>
      <c r="D1605" t="s">
        <v>85</v>
      </c>
      <c r="E1605" s="17">
        <v>119.3</v>
      </c>
      <c r="F1605" s="1">
        <v>46266</v>
      </c>
    </row>
    <row r="1606" spans="1:6" x14ac:dyDescent="0.3">
      <c r="A1606" t="s">
        <v>8</v>
      </c>
      <c r="B1606" t="s">
        <v>38</v>
      </c>
      <c r="C1606" t="s">
        <v>9</v>
      </c>
      <c r="D1606" t="s">
        <v>85</v>
      </c>
      <c r="E1606" s="17">
        <v>248.5</v>
      </c>
      <c r="F1606" s="1">
        <v>46266</v>
      </c>
    </row>
    <row r="1607" spans="1:6" x14ac:dyDescent="0.3">
      <c r="A1607" t="s">
        <v>13</v>
      </c>
      <c r="B1607" t="s">
        <v>38</v>
      </c>
      <c r="C1607" t="s">
        <v>4</v>
      </c>
      <c r="D1607" t="s">
        <v>85</v>
      </c>
      <c r="E1607" s="17">
        <v>0.9</v>
      </c>
      <c r="F1607" s="1">
        <v>46266</v>
      </c>
    </row>
    <row r="1608" spans="1:6" x14ac:dyDescent="0.3">
      <c r="A1608" t="s">
        <v>13</v>
      </c>
      <c r="B1608" t="s">
        <v>38</v>
      </c>
      <c r="C1608" t="s">
        <v>9</v>
      </c>
      <c r="D1608" t="s">
        <v>85</v>
      </c>
      <c r="E1608" s="17">
        <v>59.2</v>
      </c>
      <c r="F1608" s="1">
        <v>46266</v>
      </c>
    </row>
    <row r="1609" spans="1:6" x14ac:dyDescent="0.3">
      <c r="A1609" t="s">
        <v>13</v>
      </c>
      <c r="B1609" t="s">
        <v>38</v>
      </c>
      <c r="C1609" t="s">
        <v>6</v>
      </c>
      <c r="D1609" t="s">
        <v>85</v>
      </c>
      <c r="E1609" s="17">
        <v>58.3</v>
      </c>
      <c r="F1609" s="1">
        <v>46266</v>
      </c>
    </row>
    <row r="1610" spans="1:6" x14ac:dyDescent="0.3">
      <c r="A1610" t="s">
        <v>14</v>
      </c>
      <c r="B1610" t="s">
        <v>38</v>
      </c>
      <c r="C1610" t="s">
        <v>9</v>
      </c>
      <c r="D1610" t="s">
        <v>85</v>
      </c>
      <c r="E1610" s="17">
        <v>8.6</v>
      </c>
      <c r="F1610" s="1">
        <v>46266</v>
      </c>
    </row>
    <row r="1611" spans="1:6" x14ac:dyDescent="0.3">
      <c r="A1611" t="s">
        <v>14</v>
      </c>
      <c r="B1611" t="s">
        <v>38</v>
      </c>
      <c r="C1611" t="s">
        <v>4</v>
      </c>
      <c r="D1611" t="s">
        <v>85</v>
      </c>
      <c r="E1611" s="17">
        <v>1.7</v>
      </c>
      <c r="F1611" s="1">
        <v>46266</v>
      </c>
    </row>
    <row r="1612" spans="1:6" x14ac:dyDescent="0.3">
      <c r="A1612" t="s">
        <v>14</v>
      </c>
      <c r="B1612" t="s">
        <v>38</v>
      </c>
      <c r="C1612" t="s">
        <v>6</v>
      </c>
      <c r="D1612" t="s">
        <v>85</v>
      </c>
      <c r="E1612" s="17">
        <v>6.9</v>
      </c>
      <c r="F1612" s="1">
        <v>46266</v>
      </c>
    </row>
    <row r="1613" spans="1:6" x14ac:dyDescent="0.3">
      <c r="A1613" t="s">
        <v>12</v>
      </c>
      <c r="B1613" t="s">
        <v>38</v>
      </c>
      <c r="C1613" t="s">
        <v>9</v>
      </c>
      <c r="D1613" t="s">
        <v>85</v>
      </c>
      <c r="E1613" s="17">
        <v>255.7</v>
      </c>
      <c r="F1613" s="1">
        <v>46266</v>
      </c>
    </row>
    <row r="1614" spans="1:6" x14ac:dyDescent="0.3">
      <c r="A1614" t="s">
        <v>12</v>
      </c>
      <c r="B1614" t="s">
        <v>38</v>
      </c>
      <c r="C1614" t="s">
        <v>4</v>
      </c>
      <c r="D1614" t="s">
        <v>85</v>
      </c>
      <c r="E1614" s="17">
        <v>215</v>
      </c>
      <c r="F1614" s="1">
        <v>46266</v>
      </c>
    </row>
    <row r="1615" spans="1:6" x14ac:dyDescent="0.3">
      <c r="A1615" t="s">
        <v>12</v>
      </c>
      <c r="B1615" t="s">
        <v>38</v>
      </c>
      <c r="C1615" t="s">
        <v>6</v>
      </c>
      <c r="D1615" t="s">
        <v>85</v>
      </c>
      <c r="E1615" s="17">
        <v>40.700000000000003</v>
      </c>
      <c r="F1615" s="1">
        <v>46266</v>
      </c>
    </row>
    <row r="1616" spans="1:6" x14ac:dyDescent="0.3">
      <c r="A1616" t="s">
        <v>16</v>
      </c>
      <c r="B1616" t="s">
        <v>38</v>
      </c>
      <c r="C1616" t="s">
        <v>6</v>
      </c>
      <c r="D1616" t="s">
        <v>85</v>
      </c>
      <c r="E1616" s="17">
        <v>115.4</v>
      </c>
      <c r="F1616" s="1">
        <v>46266</v>
      </c>
    </row>
    <row r="1617" spans="1:6" x14ac:dyDescent="0.3">
      <c r="A1617" t="s">
        <v>16</v>
      </c>
      <c r="B1617" t="s">
        <v>38</v>
      </c>
      <c r="C1617" t="s">
        <v>4</v>
      </c>
      <c r="D1617" t="s">
        <v>85</v>
      </c>
      <c r="E1617" s="17">
        <v>60.6</v>
      </c>
      <c r="F1617" s="1">
        <v>46266</v>
      </c>
    </row>
    <row r="1618" spans="1:6" x14ac:dyDescent="0.3">
      <c r="A1618" t="s">
        <v>16</v>
      </c>
      <c r="B1618" t="s">
        <v>38</v>
      </c>
      <c r="C1618" t="s">
        <v>9</v>
      </c>
      <c r="D1618" t="s">
        <v>85</v>
      </c>
      <c r="E1618" s="17">
        <v>176</v>
      </c>
      <c r="F1618" s="1">
        <v>46266</v>
      </c>
    </row>
    <row r="1619" spans="1:6" x14ac:dyDescent="0.3">
      <c r="A1619" t="s">
        <v>17</v>
      </c>
      <c r="B1619" t="s">
        <v>38</v>
      </c>
      <c r="C1619" t="s">
        <v>9</v>
      </c>
      <c r="D1619" t="s">
        <v>85</v>
      </c>
      <c r="E1619" s="17">
        <v>0</v>
      </c>
      <c r="F1619" s="1">
        <v>46266</v>
      </c>
    </row>
    <row r="1620" spans="1:6" x14ac:dyDescent="0.3">
      <c r="A1620" t="s">
        <v>17</v>
      </c>
      <c r="B1620" t="s">
        <v>38</v>
      </c>
      <c r="C1620" t="s">
        <v>4</v>
      </c>
      <c r="D1620" t="s">
        <v>85</v>
      </c>
      <c r="E1620" s="17">
        <v>0</v>
      </c>
      <c r="F1620" s="1">
        <v>46266</v>
      </c>
    </row>
    <row r="1621" spans="1:6" x14ac:dyDescent="0.3">
      <c r="A1621" t="s">
        <v>17</v>
      </c>
      <c r="B1621" t="s">
        <v>38</v>
      </c>
      <c r="C1621" t="s">
        <v>6</v>
      </c>
      <c r="D1621" t="s">
        <v>85</v>
      </c>
      <c r="E1621" s="17">
        <v>0</v>
      </c>
      <c r="F1621" s="1">
        <v>46266</v>
      </c>
    </row>
    <row r="1622" spans="1:6" x14ac:dyDescent="0.3">
      <c r="A1622" t="s">
        <v>21</v>
      </c>
      <c r="B1622" t="s">
        <v>38</v>
      </c>
      <c r="C1622" t="s">
        <v>4</v>
      </c>
      <c r="D1622" t="s">
        <v>85</v>
      </c>
      <c r="E1622" s="17">
        <v>29.3</v>
      </c>
      <c r="F1622" s="1">
        <v>46266</v>
      </c>
    </row>
    <row r="1623" spans="1:6" x14ac:dyDescent="0.3">
      <c r="A1623" t="s">
        <v>21</v>
      </c>
      <c r="B1623" t="s">
        <v>38</v>
      </c>
      <c r="C1623" t="s">
        <v>9</v>
      </c>
      <c r="D1623" t="s">
        <v>85</v>
      </c>
      <c r="E1623" s="17">
        <v>160</v>
      </c>
      <c r="F1623" s="1">
        <v>46266</v>
      </c>
    </row>
    <row r="1624" spans="1:6" x14ac:dyDescent="0.3">
      <c r="A1624" t="s">
        <v>21</v>
      </c>
      <c r="B1624" t="s">
        <v>38</v>
      </c>
      <c r="C1624" t="s">
        <v>6</v>
      </c>
      <c r="D1624" t="s">
        <v>85</v>
      </c>
      <c r="E1624" s="17">
        <v>130.69999999999999</v>
      </c>
      <c r="F1624" s="1">
        <v>46266</v>
      </c>
    </row>
    <row r="1625" spans="1:6" x14ac:dyDescent="0.3">
      <c r="A1625" t="s">
        <v>19</v>
      </c>
      <c r="B1625" t="s">
        <v>38</v>
      </c>
      <c r="C1625" t="s">
        <v>4</v>
      </c>
      <c r="D1625" t="s">
        <v>85</v>
      </c>
      <c r="E1625" s="17">
        <v>57.6</v>
      </c>
      <c r="F1625" s="1">
        <v>46266</v>
      </c>
    </row>
    <row r="1626" spans="1:6" x14ac:dyDescent="0.3">
      <c r="A1626" t="s">
        <v>19</v>
      </c>
      <c r="B1626" t="s">
        <v>38</v>
      </c>
      <c r="C1626" t="s">
        <v>6</v>
      </c>
      <c r="D1626" t="s">
        <v>85</v>
      </c>
      <c r="E1626" s="17">
        <v>83.2</v>
      </c>
      <c r="F1626" s="1">
        <v>46266</v>
      </c>
    </row>
    <row r="1627" spans="1:6" x14ac:dyDescent="0.3">
      <c r="A1627" t="s">
        <v>19</v>
      </c>
      <c r="B1627" t="s">
        <v>38</v>
      </c>
      <c r="C1627" t="s">
        <v>9</v>
      </c>
      <c r="D1627" t="s">
        <v>85</v>
      </c>
      <c r="E1627" s="17">
        <v>140.80000000000001</v>
      </c>
      <c r="F1627" s="1">
        <v>46266</v>
      </c>
    </row>
    <row r="1628" spans="1:6" x14ac:dyDescent="0.3">
      <c r="A1628" t="s">
        <v>20</v>
      </c>
      <c r="B1628" t="s">
        <v>38</v>
      </c>
      <c r="C1628" t="s">
        <v>4</v>
      </c>
      <c r="D1628" t="s">
        <v>85</v>
      </c>
      <c r="E1628" s="17">
        <v>15.6</v>
      </c>
      <c r="F1628" s="1">
        <v>46266</v>
      </c>
    </row>
    <row r="1629" spans="1:6" x14ac:dyDescent="0.3">
      <c r="A1629" t="s">
        <v>20</v>
      </c>
      <c r="B1629" t="s">
        <v>38</v>
      </c>
      <c r="C1629" t="s">
        <v>9</v>
      </c>
      <c r="D1629" t="s">
        <v>85</v>
      </c>
      <c r="E1629" s="17">
        <v>207.6</v>
      </c>
      <c r="F1629" s="1">
        <v>46266</v>
      </c>
    </row>
    <row r="1630" spans="1:6" x14ac:dyDescent="0.3">
      <c r="A1630" t="s">
        <v>20</v>
      </c>
      <c r="B1630" t="s">
        <v>38</v>
      </c>
      <c r="C1630" t="s">
        <v>6</v>
      </c>
      <c r="D1630" t="s">
        <v>85</v>
      </c>
      <c r="E1630" s="17">
        <v>192</v>
      </c>
      <c r="F1630" s="1">
        <v>46266</v>
      </c>
    </row>
    <row r="1631" spans="1:6" x14ac:dyDescent="0.3">
      <c r="A1631" t="s">
        <v>18</v>
      </c>
      <c r="B1631" t="s">
        <v>38</v>
      </c>
      <c r="C1631" t="s">
        <v>6</v>
      </c>
      <c r="D1631" t="s">
        <v>85</v>
      </c>
      <c r="E1631" s="17">
        <v>119.4</v>
      </c>
      <c r="F1631" s="1">
        <v>46266</v>
      </c>
    </row>
    <row r="1632" spans="1:6" x14ac:dyDescent="0.3">
      <c r="A1632" t="s">
        <v>18</v>
      </c>
      <c r="B1632" t="s">
        <v>38</v>
      </c>
      <c r="C1632" t="s">
        <v>9</v>
      </c>
      <c r="D1632" t="s">
        <v>85</v>
      </c>
      <c r="E1632" s="17">
        <v>476.7</v>
      </c>
      <c r="F1632" s="1">
        <v>46266</v>
      </c>
    </row>
    <row r="1633" spans="1:6" x14ac:dyDescent="0.3">
      <c r="A1633" t="s">
        <v>18</v>
      </c>
      <c r="B1633" t="s">
        <v>38</v>
      </c>
      <c r="C1633" t="s">
        <v>4</v>
      </c>
      <c r="D1633" t="s">
        <v>85</v>
      </c>
      <c r="E1633" s="17">
        <v>357.3</v>
      </c>
      <c r="F1633" s="1">
        <v>46266</v>
      </c>
    </row>
    <row r="1634" spans="1:6" x14ac:dyDescent="0.3">
      <c r="A1634" t="s">
        <v>23</v>
      </c>
      <c r="B1634" t="s">
        <v>38</v>
      </c>
      <c r="C1634" t="s">
        <v>9</v>
      </c>
      <c r="D1634" t="s">
        <v>85</v>
      </c>
      <c r="E1634" s="17">
        <v>173.3</v>
      </c>
      <c r="F1634" s="1">
        <v>46266</v>
      </c>
    </row>
    <row r="1635" spans="1:6" x14ac:dyDescent="0.3">
      <c r="A1635" t="s">
        <v>23</v>
      </c>
      <c r="B1635" t="s">
        <v>38</v>
      </c>
      <c r="C1635" t="s">
        <v>4</v>
      </c>
      <c r="D1635" t="s">
        <v>85</v>
      </c>
      <c r="E1635" s="17">
        <v>62.8</v>
      </c>
      <c r="F1635" s="1">
        <v>46266</v>
      </c>
    </row>
    <row r="1636" spans="1:6" x14ac:dyDescent="0.3">
      <c r="A1636" t="s">
        <v>23</v>
      </c>
      <c r="B1636" t="s">
        <v>38</v>
      </c>
      <c r="C1636" t="s">
        <v>6</v>
      </c>
      <c r="D1636" t="s">
        <v>85</v>
      </c>
      <c r="E1636" s="17">
        <v>110.5</v>
      </c>
      <c r="F1636" s="1">
        <v>46266</v>
      </c>
    </row>
    <row r="1637" spans="1:6" x14ac:dyDescent="0.3">
      <c r="A1637" t="s">
        <v>22</v>
      </c>
      <c r="B1637" t="s">
        <v>38</v>
      </c>
      <c r="C1637" t="s">
        <v>4</v>
      </c>
      <c r="D1637" t="s">
        <v>85</v>
      </c>
      <c r="E1637" s="17">
        <v>100.2</v>
      </c>
      <c r="F1637" s="1">
        <v>46266</v>
      </c>
    </row>
    <row r="1638" spans="1:6" x14ac:dyDescent="0.3">
      <c r="A1638" t="s">
        <v>22</v>
      </c>
      <c r="B1638" t="s">
        <v>38</v>
      </c>
      <c r="C1638" t="s">
        <v>9</v>
      </c>
      <c r="D1638" t="s">
        <v>85</v>
      </c>
      <c r="E1638" s="17">
        <v>149.4</v>
      </c>
      <c r="F1638" s="1">
        <v>46266</v>
      </c>
    </row>
    <row r="1639" spans="1:6" x14ac:dyDescent="0.3">
      <c r="A1639" t="s">
        <v>22</v>
      </c>
      <c r="B1639" t="s">
        <v>38</v>
      </c>
      <c r="C1639" t="s">
        <v>6</v>
      </c>
      <c r="D1639" t="s">
        <v>85</v>
      </c>
      <c r="E1639" s="17">
        <v>49.2</v>
      </c>
      <c r="F1639" s="1">
        <v>46266</v>
      </c>
    </row>
    <row r="1640" spans="1:6" x14ac:dyDescent="0.3">
      <c r="A1640" t="s">
        <v>28</v>
      </c>
      <c r="B1640" t="s">
        <v>38</v>
      </c>
      <c r="C1640" t="s">
        <v>4</v>
      </c>
      <c r="D1640" t="s">
        <v>85</v>
      </c>
      <c r="E1640" s="17">
        <v>180.1</v>
      </c>
      <c r="F1640" s="1">
        <v>46266</v>
      </c>
    </row>
    <row r="1641" spans="1:6" x14ac:dyDescent="0.3">
      <c r="A1641" t="s">
        <v>28</v>
      </c>
      <c r="B1641" t="s">
        <v>38</v>
      </c>
      <c r="C1641" t="s">
        <v>6</v>
      </c>
      <c r="D1641" t="s">
        <v>85</v>
      </c>
      <c r="E1641" s="17">
        <v>111.2</v>
      </c>
      <c r="F1641" s="1">
        <v>46266</v>
      </c>
    </row>
    <row r="1642" spans="1:6" x14ac:dyDescent="0.3">
      <c r="A1642" t="s">
        <v>28</v>
      </c>
      <c r="B1642" t="s">
        <v>38</v>
      </c>
      <c r="C1642" t="s">
        <v>9</v>
      </c>
      <c r="D1642" t="s">
        <v>85</v>
      </c>
      <c r="E1642" s="17">
        <v>291.3</v>
      </c>
      <c r="F1642" s="1">
        <v>46266</v>
      </c>
    </row>
    <row r="1643" spans="1:6" x14ac:dyDescent="0.3">
      <c r="A1643" t="s">
        <v>11</v>
      </c>
      <c r="B1643" t="s">
        <v>38</v>
      </c>
      <c r="C1643" t="s">
        <v>6</v>
      </c>
      <c r="D1643" t="s">
        <v>85</v>
      </c>
      <c r="E1643" s="17">
        <v>2134.8000000000002</v>
      </c>
      <c r="F1643" s="1">
        <v>46266</v>
      </c>
    </row>
    <row r="1644" spans="1:6" x14ac:dyDescent="0.3">
      <c r="A1644" t="s">
        <v>11</v>
      </c>
      <c r="B1644" t="s">
        <v>38</v>
      </c>
      <c r="C1644" t="s">
        <v>4</v>
      </c>
      <c r="D1644" t="s">
        <v>85</v>
      </c>
      <c r="E1644" s="17">
        <v>2477.1999999999998</v>
      </c>
      <c r="F1644" s="1">
        <v>46266</v>
      </c>
    </row>
    <row r="1645" spans="1:6" x14ac:dyDescent="0.3">
      <c r="A1645" t="s">
        <v>11</v>
      </c>
      <c r="B1645" t="s">
        <v>38</v>
      </c>
      <c r="C1645" t="s">
        <v>9</v>
      </c>
      <c r="D1645" t="s">
        <v>85</v>
      </c>
      <c r="E1645" s="17">
        <v>4612</v>
      </c>
      <c r="F1645" s="1">
        <v>46266</v>
      </c>
    </row>
    <row r="1646" spans="1:6" x14ac:dyDescent="0.3">
      <c r="A1646" t="s">
        <v>29</v>
      </c>
      <c r="B1646" t="s">
        <v>38</v>
      </c>
      <c r="C1646" t="s">
        <v>9</v>
      </c>
      <c r="D1646" t="s">
        <v>85</v>
      </c>
      <c r="E1646" s="17">
        <v>168.4</v>
      </c>
      <c r="F1646" s="1">
        <v>46266</v>
      </c>
    </row>
    <row r="1647" spans="1:6" x14ac:dyDescent="0.3">
      <c r="A1647" t="s">
        <v>29</v>
      </c>
      <c r="B1647" t="s">
        <v>38</v>
      </c>
      <c r="C1647" t="s">
        <v>6</v>
      </c>
      <c r="D1647" t="s">
        <v>85</v>
      </c>
      <c r="E1647" s="17">
        <v>49.8</v>
      </c>
      <c r="F1647" s="1">
        <v>46266</v>
      </c>
    </row>
    <row r="1648" spans="1:6" x14ac:dyDescent="0.3">
      <c r="A1648" t="s">
        <v>29</v>
      </c>
      <c r="B1648" t="s">
        <v>38</v>
      </c>
      <c r="C1648" t="s">
        <v>4</v>
      </c>
      <c r="D1648" t="s">
        <v>85</v>
      </c>
      <c r="E1648" s="17">
        <v>118.6</v>
      </c>
      <c r="F1648" s="1">
        <v>46266</v>
      </c>
    </row>
    <row r="1649" spans="1:6" x14ac:dyDescent="0.3">
      <c r="A1649" t="s">
        <v>24</v>
      </c>
      <c r="B1649" t="s">
        <v>38</v>
      </c>
      <c r="C1649" t="s">
        <v>4</v>
      </c>
      <c r="D1649" t="s">
        <v>85</v>
      </c>
      <c r="E1649" s="17">
        <v>0</v>
      </c>
      <c r="F1649" s="1">
        <v>46266</v>
      </c>
    </row>
    <row r="1650" spans="1:6" x14ac:dyDescent="0.3">
      <c r="A1650" t="s">
        <v>24</v>
      </c>
      <c r="B1650" t="s">
        <v>38</v>
      </c>
      <c r="C1650" t="s">
        <v>6</v>
      </c>
      <c r="D1650" t="s">
        <v>85</v>
      </c>
      <c r="E1650" s="17">
        <v>0</v>
      </c>
      <c r="F1650" s="1">
        <v>46266</v>
      </c>
    </row>
    <row r="1651" spans="1:6" x14ac:dyDescent="0.3">
      <c r="A1651" t="s">
        <v>24</v>
      </c>
      <c r="B1651" t="s">
        <v>38</v>
      </c>
      <c r="C1651" t="s">
        <v>9</v>
      </c>
      <c r="D1651" t="s">
        <v>85</v>
      </c>
      <c r="E1651" s="17">
        <v>31.8</v>
      </c>
      <c r="F1651" s="1">
        <v>46266</v>
      </c>
    </row>
    <row r="1652" spans="1:6" x14ac:dyDescent="0.3">
      <c r="A1652" t="s">
        <v>27</v>
      </c>
      <c r="B1652" t="s">
        <v>38</v>
      </c>
      <c r="C1652" t="s">
        <v>6</v>
      </c>
      <c r="D1652" t="s">
        <v>85</v>
      </c>
      <c r="E1652" s="17">
        <v>196.7</v>
      </c>
      <c r="F1652" s="1">
        <v>46266</v>
      </c>
    </row>
    <row r="1653" spans="1:6" x14ac:dyDescent="0.3">
      <c r="A1653" t="s">
        <v>27</v>
      </c>
      <c r="B1653" t="s">
        <v>38</v>
      </c>
      <c r="C1653" t="s">
        <v>9</v>
      </c>
      <c r="D1653" t="s">
        <v>85</v>
      </c>
      <c r="E1653" s="17">
        <v>433</v>
      </c>
      <c r="F1653" s="1">
        <v>46266</v>
      </c>
    </row>
    <row r="1654" spans="1:6" x14ac:dyDescent="0.3">
      <c r="A1654" t="s">
        <v>27</v>
      </c>
      <c r="B1654" t="s">
        <v>38</v>
      </c>
      <c r="C1654" t="s">
        <v>4</v>
      </c>
      <c r="D1654" t="s">
        <v>85</v>
      </c>
      <c r="E1654" s="17">
        <v>236.3</v>
      </c>
      <c r="F1654" s="1">
        <v>46266</v>
      </c>
    </row>
    <row r="1655" spans="1:6" x14ac:dyDescent="0.3">
      <c r="A1655" t="s">
        <v>26</v>
      </c>
      <c r="B1655" t="s">
        <v>38</v>
      </c>
      <c r="C1655" t="s">
        <v>9</v>
      </c>
      <c r="D1655" t="s">
        <v>85</v>
      </c>
      <c r="E1655" s="17">
        <v>348.8</v>
      </c>
      <c r="F1655" s="1">
        <v>46266</v>
      </c>
    </row>
    <row r="1656" spans="1:6" x14ac:dyDescent="0.3">
      <c r="A1656" t="s">
        <v>26</v>
      </c>
      <c r="B1656" t="s">
        <v>38</v>
      </c>
      <c r="C1656" t="s">
        <v>6</v>
      </c>
      <c r="D1656" t="s">
        <v>85</v>
      </c>
      <c r="E1656" s="17">
        <v>50.1</v>
      </c>
      <c r="F1656" s="1">
        <v>46266</v>
      </c>
    </row>
    <row r="1657" spans="1:6" x14ac:dyDescent="0.3">
      <c r="A1657" t="s">
        <v>26</v>
      </c>
      <c r="B1657" t="s">
        <v>38</v>
      </c>
      <c r="C1657" t="s">
        <v>4</v>
      </c>
      <c r="D1657" t="s">
        <v>85</v>
      </c>
      <c r="E1657" s="17">
        <v>298.7</v>
      </c>
      <c r="F1657" s="1">
        <v>46266</v>
      </c>
    </row>
    <row r="1658" spans="1:6" x14ac:dyDescent="0.3">
      <c r="A1658" t="s">
        <v>25</v>
      </c>
      <c r="B1658" t="s">
        <v>38</v>
      </c>
      <c r="C1658" t="s">
        <v>4</v>
      </c>
      <c r="D1658" t="s">
        <v>85</v>
      </c>
      <c r="E1658" s="17">
        <v>5</v>
      </c>
      <c r="F1658" s="1">
        <v>46266</v>
      </c>
    </row>
    <row r="1659" spans="1:6" x14ac:dyDescent="0.3">
      <c r="A1659" t="s">
        <v>25</v>
      </c>
      <c r="B1659" t="s">
        <v>38</v>
      </c>
      <c r="C1659" t="s">
        <v>6</v>
      </c>
      <c r="D1659" t="s">
        <v>85</v>
      </c>
      <c r="E1659" s="17">
        <v>73.7</v>
      </c>
      <c r="F1659" s="1">
        <v>46266</v>
      </c>
    </row>
    <row r="1660" spans="1:6" x14ac:dyDescent="0.3">
      <c r="A1660" t="s">
        <v>25</v>
      </c>
      <c r="B1660" t="s">
        <v>38</v>
      </c>
      <c r="C1660" t="s">
        <v>9</v>
      </c>
      <c r="D1660" t="s">
        <v>85</v>
      </c>
      <c r="E1660" s="17">
        <v>78.7</v>
      </c>
      <c r="F1660" s="1">
        <v>46266</v>
      </c>
    </row>
    <row r="1661" spans="1:6" x14ac:dyDescent="0.3">
      <c r="A1661" t="s">
        <v>30</v>
      </c>
      <c r="B1661" t="s">
        <v>38</v>
      </c>
      <c r="C1661" t="s">
        <v>6</v>
      </c>
      <c r="D1661" t="s">
        <v>85</v>
      </c>
      <c r="E1661" s="17">
        <v>93.5</v>
      </c>
      <c r="F1661" s="1">
        <v>46266</v>
      </c>
    </row>
    <row r="1662" spans="1:6" x14ac:dyDescent="0.3">
      <c r="A1662" t="s">
        <v>30</v>
      </c>
      <c r="B1662" t="s">
        <v>38</v>
      </c>
      <c r="C1662" t="s">
        <v>9</v>
      </c>
      <c r="D1662" t="s">
        <v>85</v>
      </c>
      <c r="E1662" s="17">
        <v>327.9</v>
      </c>
      <c r="F1662" s="1">
        <v>46266</v>
      </c>
    </row>
    <row r="1663" spans="1:6" x14ac:dyDescent="0.3">
      <c r="A1663" t="s">
        <v>30</v>
      </c>
      <c r="B1663" t="s">
        <v>38</v>
      </c>
      <c r="C1663" t="s">
        <v>4</v>
      </c>
      <c r="D1663" t="s">
        <v>85</v>
      </c>
      <c r="E1663" s="17">
        <v>234.4</v>
      </c>
      <c r="F1663" s="1">
        <v>46266</v>
      </c>
    </row>
    <row r="1664" spans="1:6" x14ac:dyDescent="0.3">
      <c r="A1664" t="s">
        <v>15</v>
      </c>
      <c r="B1664" t="s">
        <v>38</v>
      </c>
      <c r="C1664" t="s">
        <v>4</v>
      </c>
      <c r="D1664" t="s">
        <v>86</v>
      </c>
      <c r="E1664" s="17">
        <v>12.6</v>
      </c>
      <c r="F1664" s="1">
        <v>45901</v>
      </c>
    </row>
    <row r="1665" spans="1:6" x14ac:dyDescent="0.3">
      <c r="A1665" t="s">
        <v>15</v>
      </c>
      <c r="B1665" t="s">
        <v>38</v>
      </c>
      <c r="C1665" t="s">
        <v>6</v>
      </c>
      <c r="D1665" t="s">
        <v>86</v>
      </c>
      <c r="E1665" s="17">
        <v>167.6</v>
      </c>
      <c r="F1665" s="1">
        <v>45901</v>
      </c>
    </row>
    <row r="1666" spans="1:6" x14ac:dyDescent="0.3">
      <c r="A1666" t="s">
        <v>15</v>
      </c>
      <c r="B1666" t="s">
        <v>38</v>
      </c>
      <c r="C1666" t="s">
        <v>9</v>
      </c>
      <c r="D1666" t="s">
        <v>86</v>
      </c>
      <c r="E1666" s="17">
        <v>180.2</v>
      </c>
      <c r="F1666" s="1">
        <v>45901</v>
      </c>
    </row>
    <row r="1667" spans="1:6" x14ac:dyDescent="0.3">
      <c r="A1667" t="s">
        <v>7</v>
      </c>
      <c r="B1667" t="s">
        <v>38</v>
      </c>
      <c r="C1667" t="s">
        <v>9</v>
      </c>
      <c r="D1667" t="s">
        <v>86</v>
      </c>
      <c r="E1667" s="17">
        <v>214</v>
      </c>
      <c r="F1667" s="1">
        <v>45901</v>
      </c>
    </row>
    <row r="1668" spans="1:6" x14ac:dyDescent="0.3">
      <c r="A1668" t="s">
        <v>7</v>
      </c>
      <c r="B1668" t="s">
        <v>38</v>
      </c>
      <c r="C1668" t="s">
        <v>6</v>
      </c>
      <c r="D1668" t="s">
        <v>86</v>
      </c>
      <c r="E1668" s="17">
        <v>122.9</v>
      </c>
      <c r="F1668" s="1">
        <v>45901</v>
      </c>
    </row>
    <row r="1669" spans="1:6" x14ac:dyDescent="0.3">
      <c r="A1669" t="s">
        <v>7</v>
      </c>
      <c r="B1669" t="s">
        <v>38</v>
      </c>
      <c r="C1669" t="s">
        <v>4</v>
      </c>
      <c r="D1669" t="s">
        <v>86</v>
      </c>
      <c r="E1669" s="17">
        <v>91.1</v>
      </c>
      <c r="F1669" s="1">
        <v>45901</v>
      </c>
    </row>
    <row r="1670" spans="1:6" x14ac:dyDescent="0.3">
      <c r="A1670" t="s">
        <v>10</v>
      </c>
      <c r="B1670" t="s">
        <v>38</v>
      </c>
      <c r="C1670" t="s">
        <v>6</v>
      </c>
      <c r="D1670" t="s">
        <v>86</v>
      </c>
      <c r="E1670" s="17">
        <v>218.9</v>
      </c>
      <c r="F1670" s="1">
        <v>45901</v>
      </c>
    </row>
    <row r="1671" spans="1:6" x14ac:dyDescent="0.3">
      <c r="A1671" t="s">
        <v>10</v>
      </c>
      <c r="B1671" t="s">
        <v>38</v>
      </c>
      <c r="C1671" t="s">
        <v>4</v>
      </c>
      <c r="D1671" t="s">
        <v>86</v>
      </c>
      <c r="E1671" s="17">
        <v>212.7</v>
      </c>
      <c r="F1671" s="1">
        <v>45901</v>
      </c>
    </row>
    <row r="1672" spans="1:6" x14ac:dyDescent="0.3">
      <c r="A1672" t="s">
        <v>10</v>
      </c>
      <c r="B1672" t="s">
        <v>38</v>
      </c>
      <c r="C1672" t="s">
        <v>9</v>
      </c>
      <c r="D1672" t="s">
        <v>86</v>
      </c>
      <c r="E1672" s="17">
        <v>431.6</v>
      </c>
      <c r="F1672" s="1">
        <v>45901</v>
      </c>
    </row>
    <row r="1673" spans="1:6" x14ac:dyDescent="0.3">
      <c r="A1673" t="s">
        <v>5</v>
      </c>
      <c r="B1673" t="s">
        <v>38</v>
      </c>
      <c r="C1673" t="s">
        <v>4</v>
      </c>
      <c r="D1673" t="s">
        <v>86</v>
      </c>
      <c r="E1673" s="17">
        <v>47.2</v>
      </c>
      <c r="F1673" s="1">
        <v>45901</v>
      </c>
    </row>
    <row r="1674" spans="1:6" x14ac:dyDescent="0.3">
      <c r="A1674" t="s">
        <v>5</v>
      </c>
      <c r="B1674" t="s">
        <v>38</v>
      </c>
      <c r="C1674" t="s">
        <v>6</v>
      </c>
      <c r="D1674" t="s">
        <v>86</v>
      </c>
      <c r="E1674" s="17">
        <v>101.7</v>
      </c>
      <c r="F1674" s="1">
        <v>45901</v>
      </c>
    </row>
    <row r="1675" spans="1:6" x14ac:dyDescent="0.3">
      <c r="A1675" t="s">
        <v>5</v>
      </c>
      <c r="B1675" t="s">
        <v>38</v>
      </c>
      <c r="C1675" t="s">
        <v>9</v>
      </c>
      <c r="D1675" t="s">
        <v>86</v>
      </c>
      <c r="E1675" s="17">
        <v>148.9</v>
      </c>
      <c r="F1675" s="1">
        <v>45901</v>
      </c>
    </row>
    <row r="1676" spans="1:6" x14ac:dyDescent="0.3">
      <c r="A1676" t="s">
        <v>3</v>
      </c>
      <c r="B1676" t="s">
        <v>38</v>
      </c>
      <c r="C1676" t="s">
        <v>9</v>
      </c>
      <c r="D1676" t="s">
        <v>86</v>
      </c>
      <c r="E1676" s="17">
        <v>13.4</v>
      </c>
      <c r="F1676" s="1">
        <v>45901</v>
      </c>
    </row>
    <row r="1677" spans="1:6" x14ac:dyDescent="0.3">
      <c r="A1677" t="s">
        <v>3</v>
      </c>
      <c r="B1677" t="s">
        <v>38</v>
      </c>
      <c r="C1677" t="s">
        <v>6</v>
      </c>
      <c r="D1677" t="s">
        <v>86</v>
      </c>
      <c r="E1677" s="17">
        <v>0</v>
      </c>
      <c r="F1677" s="1">
        <v>45901</v>
      </c>
    </row>
    <row r="1678" spans="1:6" x14ac:dyDescent="0.3">
      <c r="A1678" t="s">
        <v>3</v>
      </c>
      <c r="B1678" t="s">
        <v>38</v>
      </c>
      <c r="C1678" t="s">
        <v>4</v>
      </c>
      <c r="D1678" t="s">
        <v>86</v>
      </c>
      <c r="E1678" s="17">
        <v>0</v>
      </c>
      <c r="F1678" s="1">
        <v>45901</v>
      </c>
    </row>
    <row r="1679" spans="1:6" x14ac:dyDescent="0.3">
      <c r="A1679" t="s">
        <v>8</v>
      </c>
      <c r="B1679" t="s">
        <v>38</v>
      </c>
      <c r="C1679" t="s">
        <v>4</v>
      </c>
      <c r="D1679" t="s">
        <v>86</v>
      </c>
      <c r="E1679" s="17">
        <v>112.3</v>
      </c>
      <c r="F1679" s="1">
        <v>45901</v>
      </c>
    </row>
    <row r="1680" spans="1:6" x14ac:dyDescent="0.3">
      <c r="A1680" t="s">
        <v>8</v>
      </c>
      <c r="B1680" t="s">
        <v>38</v>
      </c>
      <c r="C1680" t="s">
        <v>6</v>
      </c>
      <c r="D1680" t="s">
        <v>86</v>
      </c>
      <c r="E1680" s="17">
        <v>193.2</v>
      </c>
      <c r="F1680" s="1">
        <v>45901</v>
      </c>
    </row>
    <row r="1681" spans="1:6" x14ac:dyDescent="0.3">
      <c r="A1681" t="s">
        <v>8</v>
      </c>
      <c r="B1681" t="s">
        <v>38</v>
      </c>
      <c r="C1681" t="s">
        <v>9</v>
      </c>
      <c r="D1681" t="s">
        <v>86</v>
      </c>
      <c r="E1681" s="17">
        <v>305.5</v>
      </c>
      <c r="F1681" s="1">
        <v>45901</v>
      </c>
    </row>
    <row r="1682" spans="1:6" x14ac:dyDescent="0.3">
      <c r="A1682" t="s">
        <v>13</v>
      </c>
      <c r="B1682" t="s">
        <v>38</v>
      </c>
      <c r="C1682" t="s">
        <v>4</v>
      </c>
      <c r="D1682" t="s">
        <v>86</v>
      </c>
      <c r="E1682" s="17">
        <v>1</v>
      </c>
      <c r="F1682" s="1">
        <v>45901</v>
      </c>
    </row>
    <row r="1683" spans="1:6" x14ac:dyDescent="0.3">
      <c r="A1683" t="s">
        <v>13</v>
      </c>
      <c r="B1683" t="s">
        <v>38</v>
      </c>
      <c r="C1683" t="s">
        <v>9</v>
      </c>
      <c r="D1683" t="s">
        <v>86</v>
      </c>
      <c r="E1683" s="17">
        <v>161.19999999999999</v>
      </c>
      <c r="F1683" s="1">
        <v>45901</v>
      </c>
    </row>
    <row r="1684" spans="1:6" x14ac:dyDescent="0.3">
      <c r="A1684" t="s">
        <v>13</v>
      </c>
      <c r="B1684" t="s">
        <v>38</v>
      </c>
      <c r="C1684" t="s">
        <v>6</v>
      </c>
      <c r="D1684" t="s">
        <v>86</v>
      </c>
      <c r="E1684" s="17">
        <v>160.19999999999999</v>
      </c>
      <c r="F1684" s="1">
        <v>45901</v>
      </c>
    </row>
    <row r="1685" spans="1:6" x14ac:dyDescent="0.3">
      <c r="A1685" t="s">
        <v>14</v>
      </c>
      <c r="B1685" t="s">
        <v>38</v>
      </c>
      <c r="C1685" t="s">
        <v>9</v>
      </c>
      <c r="D1685" t="s">
        <v>86</v>
      </c>
      <c r="E1685" s="17">
        <v>13.4</v>
      </c>
      <c r="F1685" s="1">
        <v>45901</v>
      </c>
    </row>
    <row r="1686" spans="1:6" x14ac:dyDescent="0.3">
      <c r="A1686" t="s">
        <v>14</v>
      </c>
      <c r="B1686" t="s">
        <v>38</v>
      </c>
      <c r="C1686" t="s">
        <v>4</v>
      </c>
      <c r="D1686" t="s">
        <v>86</v>
      </c>
      <c r="E1686" s="17">
        <v>2.9</v>
      </c>
      <c r="F1686" s="1">
        <v>45901</v>
      </c>
    </row>
    <row r="1687" spans="1:6" x14ac:dyDescent="0.3">
      <c r="A1687" t="s">
        <v>14</v>
      </c>
      <c r="B1687" t="s">
        <v>38</v>
      </c>
      <c r="C1687" t="s">
        <v>6</v>
      </c>
      <c r="D1687" t="s">
        <v>86</v>
      </c>
      <c r="E1687" s="17">
        <v>10.5</v>
      </c>
      <c r="F1687" s="1">
        <v>45901</v>
      </c>
    </row>
    <row r="1688" spans="1:6" x14ac:dyDescent="0.3">
      <c r="A1688" t="s">
        <v>12</v>
      </c>
      <c r="B1688" t="s">
        <v>38</v>
      </c>
      <c r="C1688" t="s">
        <v>9</v>
      </c>
      <c r="D1688" t="s">
        <v>86</v>
      </c>
      <c r="E1688" s="17">
        <v>253</v>
      </c>
      <c r="F1688" s="1">
        <v>45901</v>
      </c>
    </row>
    <row r="1689" spans="1:6" x14ac:dyDescent="0.3">
      <c r="A1689" t="s">
        <v>12</v>
      </c>
      <c r="B1689" t="s">
        <v>38</v>
      </c>
      <c r="C1689" t="s">
        <v>4</v>
      </c>
      <c r="D1689" t="s">
        <v>86</v>
      </c>
      <c r="E1689" s="17">
        <v>209.5</v>
      </c>
      <c r="F1689" s="1">
        <v>45901</v>
      </c>
    </row>
    <row r="1690" spans="1:6" x14ac:dyDescent="0.3">
      <c r="A1690" t="s">
        <v>12</v>
      </c>
      <c r="B1690" t="s">
        <v>38</v>
      </c>
      <c r="C1690" t="s">
        <v>6</v>
      </c>
      <c r="D1690" t="s">
        <v>86</v>
      </c>
      <c r="E1690" s="17">
        <v>43.5</v>
      </c>
      <c r="F1690" s="1">
        <v>45901</v>
      </c>
    </row>
    <row r="1691" spans="1:6" x14ac:dyDescent="0.3">
      <c r="A1691" t="s">
        <v>16</v>
      </c>
      <c r="B1691" t="s">
        <v>38</v>
      </c>
      <c r="C1691" t="s">
        <v>6</v>
      </c>
      <c r="D1691" t="s">
        <v>86</v>
      </c>
      <c r="E1691" s="17">
        <v>133.9</v>
      </c>
      <c r="F1691" s="1">
        <v>45901</v>
      </c>
    </row>
    <row r="1692" spans="1:6" x14ac:dyDescent="0.3">
      <c r="A1692" t="s">
        <v>16</v>
      </c>
      <c r="B1692" t="s">
        <v>38</v>
      </c>
      <c r="C1692" t="s">
        <v>4</v>
      </c>
      <c r="D1692" t="s">
        <v>86</v>
      </c>
      <c r="E1692" s="17">
        <v>59.5</v>
      </c>
      <c r="F1692" s="1">
        <v>45901</v>
      </c>
    </row>
    <row r="1693" spans="1:6" x14ac:dyDescent="0.3">
      <c r="A1693" t="s">
        <v>16</v>
      </c>
      <c r="B1693" t="s">
        <v>38</v>
      </c>
      <c r="C1693" t="s">
        <v>9</v>
      </c>
      <c r="D1693" t="s">
        <v>86</v>
      </c>
      <c r="E1693" s="17">
        <v>193.4</v>
      </c>
      <c r="F1693" s="1">
        <v>45901</v>
      </c>
    </row>
    <row r="1694" spans="1:6" x14ac:dyDescent="0.3">
      <c r="A1694" t="s">
        <v>17</v>
      </c>
      <c r="B1694" t="s">
        <v>38</v>
      </c>
      <c r="C1694" t="s">
        <v>9</v>
      </c>
      <c r="D1694" t="s">
        <v>86</v>
      </c>
      <c r="E1694" s="17">
        <v>35.1</v>
      </c>
      <c r="F1694" s="1">
        <v>45901</v>
      </c>
    </row>
    <row r="1695" spans="1:6" x14ac:dyDescent="0.3">
      <c r="A1695" t="s">
        <v>17</v>
      </c>
      <c r="B1695" t="s">
        <v>38</v>
      </c>
      <c r="C1695" t="s">
        <v>4</v>
      </c>
      <c r="D1695" t="s">
        <v>86</v>
      </c>
      <c r="E1695" s="17">
        <v>0</v>
      </c>
      <c r="F1695" s="1">
        <v>45901</v>
      </c>
    </row>
    <row r="1696" spans="1:6" x14ac:dyDescent="0.3">
      <c r="A1696" t="s">
        <v>17</v>
      </c>
      <c r="B1696" t="s">
        <v>38</v>
      </c>
      <c r="C1696" t="s">
        <v>6</v>
      </c>
      <c r="D1696" t="s">
        <v>86</v>
      </c>
      <c r="E1696" s="17">
        <v>0</v>
      </c>
      <c r="F1696" s="1">
        <v>45901</v>
      </c>
    </row>
    <row r="1697" spans="1:6" x14ac:dyDescent="0.3">
      <c r="A1697" t="s">
        <v>21</v>
      </c>
      <c r="B1697" t="s">
        <v>38</v>
      </c>
      <c r="C1697" t="s">
        <v>4</v>
      </c>
      <c r="D1697" t="s">
        <v>86</v>
      </c>
      <c r="E1697" s="17">
        <v>25.5</v>
      </c>
      <c r="F1697" s="1">
        <v>45901</v>
      </c>
    </row>
    <row r="1698" spans="1:6" x14ac:dyDescent="0.3">
      <c r="A1698" t="s">
        <v>21</v>
      </c>
      <c r="B1698" t="s">
        <v>38</v>
      </c>
      <c r="C1698" t="s">
        <v>9</v>
      </c>
      <c r="D1698" t="s">
        <v>86</v>
      </c>
      <c r="E1698" s="17">
        <v>217.8</v>
      </c>
      <c r="F1698" s="1">
        <v>45901</v>
      </c>
    </row>
    <row r="1699" spans="1:6" x14ac:dyDescent="0.3">
      <c r="A1699" t="s">
        <v>21</v>
      </c>
      <c r="B1699" t="s">
        <v>38</v>
      </c>
      <c r="C1699" t="s">
        <v>6</v>
      </c>
      <c r="D1699" t="s">
        <v>86</v>
      </c>
      <c r="E1699" s="17">
        <v>192.3</v>
      </c>
      <c r="F1699" s="1">
        <v>45901</v>
      </c>
    </row>
    <row r="1700" spans="1:6" x14ac:dyDescent="0.3">
      <c r="A1700" t="s">
        <v>19</v>
      </c>
      <c r="B1700" t="s">
        <v>38</v>
      </c>
      <c r="C1700" t="s">
        <v>4</v>
      </c>
      <c r="D1700" t="s">
        <v>86</v>
      </c>
      <c r="E1700" s="17">
        <v>55.3</v>
      </c>
      <c r="F1700" s="1">
        <v>45901</v>
      </c>
    </row>
    <row r="1701" spans="1:6" x14ac:dyDescent="0.3">
      <c r="A1701" t="s">
        <v>19</v>
      </c>
      <c r="B1701" t="s">
        <v>38</v>
      </c>
      <c r="C1701" t="s">
        <v>6</v>
      </c>
      <c r="D1701" t="s">
        <v>86</v>
      </c>
      <c r="E1701" s="17">
        <v>95.6</v>
      </c>
      <c r="F1701" s="1">
        <v>45901</v>
      </c>
    </row>
    <row r="1702" spans="1:6" x14ac:dyDescent="0.3">
      <c r="A1702" t="s">
        <v>19</v>
      </c>
      <c r="B1702" t="s">
        <v>38</v>
      </c>
      <c r="C1702" t="s">
        <v>9</v>
      </c>
      <c r="D1702" t="s">
        <v>86</v>
      </c>
      <c r="E1702" s="17">
        <v>150.9</v>
      </c>
      <c r="F1702" s="1">
        <v>45901</v>
      </c>
    </row>
    <row r="1703" spans="1:6" x14ac:dyDescent="0.3">
      <c r="A1703" t="s">
        <v>20</v>
      </c>
      <c r="B1703" t="s">
        <v>38</v>
      </c>
      <c r="C1703" t="s">
        <v>4</v>
      </c>
      <c r="D1703" t="s">
        <v>86</v>
      </c>
      <c r="E1703" s="17">
        <v>17.5</v>
      </c>
      <c r="F1703" s="1">
        <v>45901</v>
      </c>
    </row>
    <row r="1704" spans="1:6" x14ac:dyDescent="0.3">
      <c r="A1704" t="s">
        <v>20</v>
      </c>
      <c r="B1704" t="s">
        <v>38</v>
      </c>
      <c r="C1704" t="s">
        <v>9</v>
      </c>
      <c r="D1704" t="s">
        <v>86</v>
      </c>
      <c r="E1704" s="17">
        <v>216.7</v>
      </c>
      <c r="F1704" s="1">
        <v>45901</v>
      </c>
    </row>
    <row r="1705" spans="1:6" x14ac:dyDescent="0.3">
      <c r="A1705" t="s">
        <v>20</v>
      </c>
      <c r="B1705" t="s">
        <v>38</v>
      </c>
      <c r="C1705" t="s">
        <v>6</v>
      </c>
      <c r="D1705" t="s">
        <v>86</v>
      </c>
      <c r="E1705" s="17">
        <v>199.2</v>
      </c>
      <c r="F1705" s="1">
        <v>45901</v>
      </c>
    </row>
    <row r="1706" spans="1:6" x14ac:dyDescent="0.3">
      <c r="A1706" t="s">
        <v>18</v>
      </c>
      <c r="B1706" t="s">
        <v>38</v>
      </c>
      <c r="C1706" t="s">
        <v>6</v>
      </c>
      <c r="D1706" t="s">
        <v>86</v>
      </c>
      <c r="E1706" s="17">
        <v>150.69999999999999</v>
      </c>
      <c r="F1706" s="1">
        <v>45901</v>
      </c>
    </row>
    <row r="1707" spans="1:6" x14ac:dyDescent="0.3">
      <c r="A1707" t="s">
        <v>18</v>
      </c>
      <c r="B1707" t="s">
        <v>38</v>
      </c>
      <c r="C1707" t="s">
        <v>9</v>
      </c>
      <c r="D1707" t="s">
        <v>86</v>
      </c>
      <c r="E1707" s="17">
        <v>508.6</v>
      </c>
      <c r="F1707" s="1">
        <v>45901</v>
      </c>
    </row>
    <row r="1708" spans="1:6" x14ac:dyDescent="0.3">
      <c r="A1708" t="s">
        <v>18</v>
      </c>
      <c r="B1708" t="s">
        <v>38</v>
      </c>
      <c r="C1708" t="s">
        <v>4</v>
      </c>
      <c r="D1708" t="s">
        <v>86</v>
      </c>
      <c r="E1708" s="17">
        <v>357.9</v>
      </c>
      <c r="F1708" s="1">
        <v>45901</v>
      </c>
    </row>
    <row r="1709" spans="1:6" x14ac:dyDescent="0.3">
      <c r="A1709" t="s">
        <v>23</v>
      </c>
      <c r="B1709" t="s">
        <v>38</v>
      </c>
      <c r="C1709" t="s">
        <v>9</v>
      </c>
      <c r="D1709" t="s">
        <v>86</v>
      </c>
      <c r="E1709" s="17">
        <v>195.5</v>
      </c>
      <c r="F1709" s="1">
        <v>45901</v>
      </c>
    </row>
    <row r="1710" spans="1:6" x14ac:dyDescent="0.3">
      <c r="A1710" t="s">
        <v>23</v>
      </c>
      <c r="B1710" t="s">
        <v>38</v>
      </c>
      <c r="C1710" t="s">
        <v>4</v>
      </c>
      <c r="D1710" t="s">
        <v>86</v>
      </c>
      <c r="E1710" s="17">
        <v>45</v>
      </c>
      <c r="F1710" s="1">
        <v>45901</v>
      </c>
    </row>
    <row r="1711" spans="1:6" x14ac:dyDescent="0.3">
      <c r="A1711" t="s">
        <v>23</v>
      </c>
      <c r="B1711" t="s">
        <v>38</v>
      </c>
      <c r="C1711" t="s">
        <v>6</v>
      </c>
      <c r="D1711" t="s">
        <v>86</v>
      </c>
      <c r="E1711" s="17">
        <v>150.5</v>
      </c>
      <c r="F1711" s="1">
        <v>45901</v>
      </c>
    </row>
    <row r="1712" spans="1:6" x14ac:dyDescent="0.3">
      <c r="A1712" t="s">
        <v>22</v>
      </c>
      <c r="B1712" t="s">
        <v>38</v>
      </c>
      <c r="C1712" t="s">
        <v>4</v>
      </c>
      <c r="D1712" t="s">
        <v>86</v>
      </c>
      <c r="E1712" s="17">
        <v>113</v>
      </c>
      <c r="F1712" s="1">
        <v>45901</v>
      </c>
    </row>
    <row r="1713" spans="1:6" x14ac:dyDescent="0.3">
      <c r="A1713" t="s">
        <v>22</v>
      </c>
      <c r="B1713" t="s">
        <v>38</v>
      </c>
      <c r="C1713" t="s">
        <v>9</v>
      </c>
      <c r="D1713" t="s">
        <v>86</v>
      </c>
      <c r="E1713" s="17">
        <v>181</v>
      </c>
      <c r="F1713" s="1">
        <v>45901</v>
      </c>
    </row>
    <row r="1714" spans="1:6" x14ac:dyDescent="0.3">
      <c r="A1714" t="s">
        <v>22</v>
      </c>
      <c r="B1714" t="s">
        <v>38</v>
      </c>
      <c r="C1714" t="s">
        <v>6</v>
      </c>
      <c r="D1714" t="s">
        <v>86</v>
      </c>
      <c r="E1714" s="17">
        <v>68</v>
      </c>
      <c r="F1714" s="1">
        <v>45901</v>
      </c>
    </row>
    <row r="1715" spans="1:6" x14ac:dyDescent="0.3">
      <c r="A1715" t="s">
        <v>28</v>
      </c>
      <c r="B1715" t="s">
        <v>38</v>
      </c>
      <c r="C1715" t="s">
        <v>4</v>
      </c>
      <c r="D1715" t="s">
        <v>86</v>
      </c>
      <c r="E1715" s="17">
        <v>156.6</v>
      </c>
      <c r="F1715" s="1">
        <v>45901</v>
      </c>
    </row>
    <row r="1716" spans="1:6" x14ac:dyDescent="0.3">
      <c r="A1716" t="s">
        <v>28</v>
      </c>
      <c r="B1716" t="s">
        <v>38</v>
      </c>
      <c r="C1716" t="s">
        <v>6</v>
      </c>
      <c r="D1716" t="s">
        <v>86</v>
      </c>
      <c r="E1716" s="17">
        <v>225.4</v>
      </c>
      <c r="F1716" s="1">
        <v>45901</v>
      </c>
    </row>
    <row r="1717" spans="1:6" x14ac:dyDescent="0.3">
      <c r="A1717" t="s">
        <v>28</v>
      </c>
      <c r="B1717" t="s">
        <v>38</v>
      </c>
      <c r="C1717" t="s">
        <v>9</v>
      </c>
      <c r="D1717" t="s">
        <v>86</v>
      </c>
      <c r="E1717" s="17">
        <v>382</v>
      </c>
      <c r="F1717" s="1">
        <v>45901</v>
      </c>
    </row>
    <row r="1718" spans="1:6" x14ac:dyDescent="0.3">
      <c r="A1718" t="s">
        <v>11</v>
      </c>
      <c r="B1718" t="s">
        <v>38</v>
      </c>
      <c r="C1718" t="s">
        <v>6</v>
      </c>
      <c r="D1718" t="s">
        <v>86</v>
      </c>
      <c r="E1718" s="17">
        <v>2926.1</v>
      </c>
      <c r="F1718" s="1">
        <v>45901</v>
      </c>
    </row>
    <row r="1719" spans="1:6" x14ac:dyDescent="0.3">
      <c r="A1719" t="s">
        <v>11</v>
      </c>
      <c r="B1719" t="s">
        <v>38</v>
      </c>
      <c r="C1719" t="s">
        <v>4</v>
      </c>
      <c r="D1719" t="s">
        <v>86</v>
      </c>
      <c r="E1719" s="17">
        <v>2384.8000000000002</v>
      </c>
      <c r="F1719" s="1">
        <v>45901</v>
      </c>
    </row>
    <row r="1720" spans="1:6" x14ac:dyDescent="0.3">
      <c r="A1720" t="s">
        <v>11</v>
      </c>
      <c r="B1720" t="s">
        <v>38</v>
      </c>
      <c r="C1720" t="s">
        <v>9</v>
      </c>
      <c r="D1720" t="s">
        <v>86</v>
      </c>
      <c r="E1720" s="17">
        <v>5310.9</v>
      </c>
      <c r="F1720" s="1">
        <v>45901</v>
      </c>
    </row>
    <row r="1721" spans="1:6" x14ac:dyDescent="0.3">
      <c r="A1721" t="s">
        <v>29</v>
      </c>
      <c r="B1721" t="s">
        <v>38</v>
      </c>
      <c r="C1721" t="s">
        <v>9</v>
      </c>
      <c r="D1721" t="s">
        <v>86</v>
      </c>
      <c r="E1721" s="17">
        <v>173.6</v>
      </c>
      <c r="F1721" s="1">
        <v>45901</v>
      </c>
    </row>
    <row r="1722" spans="1:6" x14ac:dyDescent="0.3">
      <c r="A1722" t="s">
        <v>29</v>
      </c>
      <c r="B1722" t="s">
        <v>38</v>
      </c>
      <c r="C1722" t="s">
        <v>6</v>
      </c>
      <c r="D1722" t="s">
        <v>86</v>
      </c>
      <c r="E1722" s="17">
        <v>53.2</v>
      </c>
      <c r="F1722" s="1">
        <v>45901</v>
      </c>
    </row>
    <row r="1723" spans="1:6" x14ac:dyDescent="0.3">
      <c r="A1723" t="s">
        <v>29</v>
      </c>
      <c r="B1723" t="s">
        <v>38</v>
      </c>
      <c r="C1723" t="s">
        <v>4</v>
      </c>
      <c r="D1723" t="s">
        <v>86</v>
      </c>
      <c r="E1723" s="17">
        <v>120.4</v>
      </c>
      <c r="F1723" s="1">
        <v>45901</v>
      </c>
    </row>
    <row r="1724" spans="1:6" x14ac:dyDescent="0.3">
      <c r="A1724" t="s">
        <v>24</v>
      </c>
      <c r="B1724" t="s">
        <v>38</v>
      </c>
      <c r="C1724" t="s">
        <v>4</v>
      </c>
      <c r="D1724" t="s">
        <v>86</v>
      </c>
      <c r="E1724" s="17">
        <v>0</v>
      </c>
      <c r="F1724" s="1">
        <v>45901</v>
      </c>
    </row>
    <row r="1725" spans="1:6" x14ac:dyDescent="0.3">
      <c r="A1725" t="s">
        <v>24</v>
      </c>
      <c r="B1725" t="s">
        <v>38</v>
      </c>
      <c r="C1725" t="s">
        <v>6</v>
      </c>
      <c r="D1725" t="s">
        <v>86</v>
      </c>
      <c r="E1725" s="17">
        <v>0</v>
      </c>
      <c r="F1725" s="1">
        <v>45901</v>
      </c>
    </row>
    <row r="1726" spans="1:6" x14ac:dyDescent="0.3">
      <c r="A1726" t="s">
        <v>24</v>
      </c>
      <c r="B1726" t="s">
        <v>38</v>
      </c>
      <c r="C1726" t="s">
        <v>9</v>
      </c>
      <c r="D1726" t="s">
        <v>86</v>
      </c>
      <c r="E1726" s="17">
        <v>46</v>
      </c>
      <c r="F1726" s="1">
        <v>45901</v>
      </c>
    </row>
    <row r="1727" spans="1:6" x14ac:dyDescent="0.3">
      <c r="A1727" t="s">
        <v>27</v>
      </c>
      <c r="B1727" t="s">
        <v>38</v>
      </c>
      <c r="C1727" t="s">
        <v>6</v>
      </c>
      <c r="D1727" t="s">
        <v>86</v>
      </c>
      <c r="E1727" s="17">
        <v>276.5</v>
      </c>
      <c r="F1727" s="1">
        <v>45901</v>
      </c>
    </row>
    <row r="1728" spans="1:6" x14ac:dyDescent="0.3">
      <c r="A1728" t="s">
        <v>27</v>
      </c>
      <c r="B1728" t="s">
        <v>38</v>
      </c>
      <c r="C1728" t="s">
        <v>9</v>
      </c>
      <c r="D1728" t="s">
        <v>86</v>
      </c>
      <c r="E1728" s="17">
        <v>511.2</v>
      </c>
      <c r="F1728" s="1">
        <v>45901</v>
      </c>
    </row>
    <row r="1729" spans="1:6" x14ac:dyDescent="0.3">
      <c r="A1729" t="s">
        <v>27</v>
      </c>
      <c r="B1729" t="s">
        <v>38</v>
      </c>
      <c r="C1729" t="s">
        <v>4</v>
      </c>
      <c r="D1729" t="s">
        <v>86</v>
      </c>
      <c r="E1729" s="17">
        <v>234.7</v>
      </c>
      <c r="F1729" s="1">
        <v>45901</v>
      </c>
    </row>
    <row r="1730" spans="1:6" x14ac:dyDescent="0.3">
      <c r="A1730" t="s">
        <v>26</v>
      </c>
      <c r="B1730" t="s">
        <v>38</v>
      </c>
      <c r="C1730" t="s">
        <v>9</v>
      </c>
      <c r="D1730" t="s">
        <v>86</v>
      </c>
      <c r="E1730" s="17">
        <v>348.5</v>
      </c>
      <c r="F1730" s="1">
        <v>45901</v>
      </c>
    </row>
    <row r="1731" spans="1:6" x14ac:dyDescent="0.3">
      <c r="A1731" t="s">
        <v>26</v>
      </c>
      <c r="B1731" t="s">
        <v>38</v>
      </c>
      <c r="C1731" t="s">
        <v>6</v>
      </c>
      <c r="D1731" t="s">
        <v>86</v>
      </c>
      <c r="E1731" s="17">
        <v>57.9</v>
      </c>
      <c r="F1731" s="1">
        <v>45901</v>
      </c>
    </row>
    <row r="1732" spans="1:6" x14ac:dyDescent="0.3">
      <c r="A1732" t="s">
        <v>26</v>
      </c>
      <c r="B1732" t="s">
        <v>38</v>
      </c>
      <c r="C1732" t="s">
        <v>4</v>
      </c>
      <c r="D1732" t="s">
        <v>86</v>
      </c>
      <c r="E1732" s="17">
        <v>290.60000000000002</v>
      </c>
      <c r="F1732" s="1">
        <v>45901</v>
      </c>
    </row>
    <row r="1733" spans="1:6" x14ac:dyDescent="0.3">
      <c r="A1733" t="s">
        <v>25</v>
      </c>
      <c r="B1733" t="s">
        <v>38</v>
      </c>
      <c r="C1733" t="s">
        <v>4</v>
      </c>
      <c r="D1733" t="s">
        <v>86</v>
      </c>
      <c r="E1733" s="17">
        <v>6.3</v>
      </c>
      <c r="F1733" s="1">
        <v>45901</v>
      </c>
    </row>
    <row r="1734" spans="1:6" x14ac:dyDescent="0.3">
      <c r="A1734" t="s">
        <v>25</v>
      </c>
      <c r="B1734" t="s">
        <v>38</v>
      </c>
      <c r="C1734" t="s">
        <v>6</v>
      </c>
      <c r="D1734" t="s">
        <v>86</v>
      </c>
      <c r="E1734" s="17">
        <v>110</v>
      </c>
      <c r="F1734" s="1">
        <v>45901</v>
      </c>
    </row>
    <row r="1735" spans="1:6" x14ac:dyDescent="0.3">
      <c r="A1735" t="s">
        <v>25</v>
      </c>
      <c r="B1735" t="s">
        <v>38</v>
      </c>
      <c r="C1735" t="s">
        <v>9</v>
      </c>
      <c r="D1735" t="s">
        <v>86</v>
      </c>
      <c r="E1735" s="17">
        <v>116.3</v>
      </c>
      <c r="F1735" s="1">
        <v>45901</v>
      </c>
    </row>
    <row r="1736" spans="1:6" x14ac:dyDescent="0.3">
      <c r="A1736" t="s">
        <v>30</v>
      </c>
      <c r="B1736" t="s">
        <v>38</v>
      </c>
      <c r="C1736" t="s">
        <v>6</v>
      </c>
      <c r="D1736" t="s">
        <v>86</v>
      </c>
      <c r="E1736" s="17">
        <v>101.7</v>
      </c>
      <c r="F1736" s="1">
        <v>45901</v>
      </c>
    </row>
    <row r="1737" spans="1:6" x14ac:dyDescent="0.3">
      <c r="A1737" t="s">
        <v>30</v>
      </c>
      <c r="B1737" t="s">
        <v>38</v>
      </c>
      <c r="C1737" t="s">
        <v>9</v>
      </c>
      <c r="D1737" t="s">
        <v>86</v>
      </c>
      <c r="E1737" s="17">
        <v>313.10000000000002</v>
      </c>
      <c r="F1737" s="1">
        <v>45901</v>
      </c>
    </row>
    <row r="1738" spans="1:6" x14ac:dyDescent="0.3">
      <c r="A1738" t="s">
        <v>30</v>
      </c>
      <c r="B1738" t="s">
        <v>38</v>
      </c>
      <c r="C1738" t="s">
        <v>4</v>
      </c>
      <c r="D1738" t="s">
        <v>86</v>
      </c>
      <c r="E1738" s="17">
        <v>211.4</v>
      </c>
      <c r="F1738" s="1">
        <v>45901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01DB1-5FB8-498F-B97B-39539F0DF4D5}">
  <dimension ref="A1:F70"/>
  <sheetViews>
    <sheetView workbookViewId="0">
      <pane ySplit="1" topLeftCell="A53" activePane="bottomLeft" state="frozen"/>
      <selection pane="bottomLeft" activeCell="I62" sqref="I62"/>
    </sheetView>
  </sheetViews>
  <sheetFormatPr defaultRowHeight="14.4" x14ac:dyDescent="0.3"/>
  <cols>
    <col min="1" max="1" width="22.88671875" customWidth="1"/>
    <col min="3" max="3" width="18.44140625" customWidth="1"/>
    <col min="4" max="4" width="10.109375" style="22" bestFit="1" customWidth="1"/>
    <col min="5" max="5" width="20.21875" customWidth="1"/>
    <col min="6" max="6" width="10.109375" style="1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3" t="s">
        <v>39</v>
      </c>
      <c r="E1" s="15" t="s">
        <v>37</v>
      </c>
      <c r="F1" s="3" t="s">
        <v>31</v>
      </c>
    </row>
    <row r="2" spans="1:6" x14ac:dyDescent="0.3">
      <c r="A2" t="s">
        <v>11</v>
      </c>
      <c r="B2" t="s">
        <v>38</v>
      </c>
      <c r="C2" t="s">
        <v>9</v>
      </c>
      <c r="D2" s="22">
        <v>45597</v>
      </c>
      <c r="E2" s="17">
        <v>534.6</v>
      </c>
      <c r="F2" s="1">
        <v>45597</v>
      </c>
    </row>
    <row r="3" spans="1:6" x14ac:dyDescent="0.3">
      <c r="A3" t="s">
        <v>11</v>
      </c>
      <c r="B3" t="s">
        <v>38</v>
      </c>
      <c r="C3" t="s">
        <v>4</v>
      </c>
      <c r="D3" s="22">
        <v>45597</v>
      </c>
      <c r="E3" s="17">
        <v>231.05050000000028</v>
      </c>
      <c r="F3" s="1">
        <v>45597</v>
      </c>
    </row>
    <row r="4" spans="1:6" x14ac:dyDescent="0.3">
      <c r="A4" t="s">
        <v>11</v>
      </c>
      <c r="B4" t="s">
        <v>38</v>
      </c>
      <c r="C4" t="s">
        <v>6</v>
      </c>
      <c r="D4" s="22">
        <v>45597</v>
      </c>
      <c r="E4" s="17">
        <v>303.54949999999917</v>
      </c>
      <c r="F4" s="1">
        <v>45597</v>
      </c>
    </row>
    <row r="5" spans="1:6" x14ac:dyDescent="0.3">
      <c r="A5" t="s">
        <v>11</v>
      </c>
      <c r="B5" t="s">
        <v>38</v>
      </c>
      <c r="C5" t="s">
        <v>9</v>
      </c>
      <c r="D5" s="22">
        <v>45931</v>
      </c>
      <c r="E5" s="17">
        <v>567.5</v>
      </c>
      <c r="F5" s="1">
        <v>45931</v>
      </c>
    </row>
    <row r="6" spans="1:6" x14ac:dyDescent="0.3">
      <c r="A6" t="s">
        <v>11</v>
      </c>
      <c r="B6" t="s">
        <v>38</v>
      </c>
      <c r="C6" t="s">
        <v>4</v>
      </c>
      <c r="D6" s="22">
        <v>45931</v>
      </c>
      <c r="E6" s="17">
        <v>264.29999999999973</v>
      </c>
      <c r="F6" s="1">
        <v>45931</v>
      </c>
    </row>
    <row r="7" spans="1:6" x14ac:dyDescent="0.3">
      <c r="A7" t="s">
        <v>11</v>
      </c>
      <c r="B7" t="s">
        <v>38</v>
      </c>
      <c r="C7" t="s">
        <v>6</v>
      </c>
      <c r="D7" s="22">
        <v>45931</v>
      </c>
      <c r="E7" s="17">
        <v>303.19999999999982</v>
      </c>
      <c r="F7" s="1">
        <v>45931</v>
      </c>
    </row>
    <row r="8" spans="1:6" x14ac:dyDescent="0.3">
      <c r="A8" t="s">
        <v>11</v>
      </c>
      <c r="B8" t="s">
        <v>38</v>
      </c>
      <c r="C8" t="s">
        <v>9</v>
      </c>
      <c r="D8" s="22">
        <v>45962</v>
      </c>
      <c r="E8" s="17">
        <v>506.60000000000036</v>
      </c>
      <c r="F8" s="1">
        <v>45962</v>
      </c>
    </row>
    <row r="9" spans="1:6" x14ac:dyDescent="0.3">
      <c r="A9" t="s">
        <v>11</v>
      </c>
      <c r="B9" t="s">
        <v>38</v>
      </c>
      <c r="C9" t="s">
        <v>4</v>
      </c>
      <c r="D9" s="22">
        <v>45962</v>
      </c>
      <c r="E9" s="17">
        <v>265.59999999999991</v>
      </c>
      <c r="F9" s="1">
        <v>45962</v>
      </c>
    </row>
    <row r="10" spans="1:6" x14ac:dyDescent="0.3">
      <c r="A10" t="s">
        <v>11</v>
      </c>
      <c r="B10" t="s">
        <v>38</v>
      </c>
      <c r="C10" t="s">
        <v>6</v>
      </c>
      <c r="D10" s="22">
        <v>45962</v>
      </c>
      <c r="E10" s="17">
        <v>241</v>
      </c>
      <c r="F10" s="1">
        <v>45962</v>
      </c>
    </row>
    <row r="11" spans="1:6" x14ac:dyDescent="0.3">
      <c r="A11" t="s">
        <v>11</v>
      </c>
      <c r="B11" t="s">
        <v>38</v>
      </c>
      <c r="C11" t="s">
        <v>9</v>
      </c>
      <c r="D11" s="22">
        <v>45992</v>
      </c>
      <c r="E11" s="17">
        <v>477.69999999999982</v>
      </c>
      <c r="F11" s="1">
        <v>45992</v>
      </c>
    </row>
    <row r="12" spans="1:6" x14ac:dyDescent="0.3">
      <c r="A12" t="s">
        <v>11</v>
      </c>
      <c r="B12" t="s">
        <v>38</v>
      </c>
      <c r="C12" t="s">
        <v>4</v>
      </c>
      <c r="D12" s="22">
        <v>45992</v>
      </c>
      <c r="E12" s="17">
        <v>271.30000000000018</v>
      </c>
      <c r="F12" s="1">
        <v>45992</v>
      </c>
    </row>
    <row r="13" spans="1:6" x14ac:dyDescent="0.3">
      <c r="A13" t="s">
        <v>11</v>
      </c>
      <c r="B13" t="s">
        <v>38</v>
      </c>
      <c r="C13" t="s">
        <v>6</v>
      </c>
      <c r="D13" s="22">
        <v>45992</v>
      </c>
      <c r="E13" s="17">
        <v>206.39999999999964</v>
      </c>
      <c r="F13" s="1">
        <v>45992</v>
      </c>
    </row>
    <row r="14" spans="1:6" x14ac:dyDescent="0.3">
      <c r="A14" t="s">
        <v>11</v>
      </c>
      <c r="B14" t="s">
        <v>38</v>
      </c>
      <c r="C14" t="s">
        <v>9</v>
      </c>
      <c r="D14" s="22">
        <v>45627</v>
      </c>
      <c r="E14" s="17">
        <v>529.20000000000073</v>
      </c>
      <c r="F14" s="1">
        <v>45627</v>
      </c>
    </row>
    <row r="15" spans="1:6" x14ac:dyDescent="0.3">
      <c r="A15" t="s">
        <v>11</v>
      </c>
      <c r="B15" t="s">
        <v>38</v>
      </c>
      <c r="C15" t="s">
        <v>4</v>
      </c>
      <c r="D15" s="22">
        <v>45627</v>
      </c>
      <c r="E15" s="17">
        <v>258.64949999999999</v>
      </c>
      <c r="F15" s="1">
        <v>45627</v>
      </c>
    </row>
    <row r="16" spans="1:6" x14ac:dyDescent="0.3">
      <c r="A16" t="s">
        <v>11</v>
      </c>
      <c r="B16" t="s">
        <v>38</v>
      </c>
      <c r="C16" t="s">
        <v>6</v>
      </c>
      <c r="D16" s="22">
        <v>45627</v>
      </c>
      <c r="E16" s="17">
        <v>270.55050000000074</v>
      </c>
      <c r="F16" s="1">
        <v>45627</v>
      </c>
    </row>
    <row r="17" spans="1:6" x14ac:dyDescent="0.3">
      <c r="A17" t="s">
        <v>11</v>
      </c>
      <c r="B17" t="s">
        <v>38</v>
      </c>
      <c r="C17" t="s">
        <v>9</v>
      </c>
      <c r="D17" s="22">
        <v>45658</v>
      </c>
      <c r="E17" s="17">
        <v>452.7</v>
      </c>
      <c r="F17" s="1">
        <v>45658</v>
      </c>
    </row>
    <row r="18" spans="1:6" x14ac:dyDescent="0.3">
      <c r="A18" t="s">
        <v>11</v>
      </c>
      <c r="B18" t="s">
        <v>38</v>
      </c>
      <c r="C18" t="s">
        <v>9</v>
      </c>
      <c r="D18" s="22">
        <v>45689</v>
      </c>
      <c r="E18" s="17">
        <v>438.69999999999987</v>
      </c>
      <c r="F18" s="1">
        <v>45689</v>
      </c>
    </row>
    <row r="19" spans="1:6" x14ac:dyDescent="0.3">
      <c r="A19" t="s">
        <v>11</v>
      </c>
      <c r="B19" t="s">
        <v>38</v>
      </c>
      <c r="C19" t="s">
        <v>9</v>
      </c>
      <c r="D19" s="22">
        <v>45717</v>
      </c>
      <c r="E19" s="17">
        <v>555.90000000000009</v>
      </c>
      <c r="F19" s="1">
        <v>45717</v>
      </c>
    </row>
    <row r="20" spans="1:6" x14ac:dyDescent="0.3">
      <c r="A20" t="s">
        <v>11</v>
      </c>
      <c r="B20" t="s">
        <v>38</v>
      </c>
      <c r="C20" t="s">
        <v>9</v>
      </c>
      <c r="D20" s="22">
        <v>45748</v>
      </c>
      <c r="E20" s="17">
        <v>604.30000000000041</v>
      </c>
      <c r="F20" s="1">
        <v>45748</v>
      </c>
    </row>
    <row r="21" spans="1:6" x14ac:dyDescent="0.3">
      <c r="A21" t="s">
        <v>11</v>
      </c>
      <c r="B21" t="s">
        <v>38</v>
      </c>
      <c r="C21" t="s">
        <v>9</v>
      </c>
      <c r="D21" s="22">
        <v>45778</v>
      </c>
      <c r="E21" s="17">
        <v>685.49999999999909</v>
      </c>
      <c r="F21" s="1">
        <v>45778</v>
      </c>
    </row>
    <row r="22" spans="1:6" x14ac:dyDescent="0.3">
      <c r="A22" t="s">
        <v>11</v>
      </c>
      <c r="B22" t="s">
        <v>38</v>
      </c>
      <c r="C22" t="s">
        <v>9</v>
      </c>
      <c r="D22" s="22">
        <v>45809</v>
      </c>
      <c r="E22" s="17">
        <v>657.400000000001</v>
      </c>
      <c r="F22" s="1">
        <v>45809</v>
      </c>
    </row>
    <row r="23" spans="1:6" x14ac:dyDescent="0.3">
      <c r="A23" t="s">
        <v>11</v>
      </c>
      <c r="B23" t="s">
        <v>38</v>
      </c>
      <c r="C23" t="s">
        <v>9</v>
      </c>
      <c r="D23" s="22">
        <v>45839</v>
      </c>
      <c r="E23" s="17">
        <v>663.39999999999964</v>
      </c>
      <c r="F23" s="1">
        <v>45839</v>
      </c>
    </row>
    <row r="24" spans="1:6" x14ac:dyDescent="0.3">
      <c r="A24" t="s">
        <v>11</v>
      </c>
      <c r="B24" t="s">
        <v>38</v>
      </c>
      <c r="C24" t="s">
        <v>9</v>
      </c>
      <c r="D24" s="22">
        <v>45870</v>
      </c>
      <c r="E24" s="17">
        <v>640.20000000000027</v>
      </c>
      <c r="F24" s="1">
        <v>45870</v>
      </c>
    </row>
    <row r="25" spans="1:6" x14ac:dyDescent="0.3">
      <c r="A25" t="s">
        <v>11</v>
      </c>
      <c r="B25" t="s">
        <v>38</v>
      </c>
      <c r="C25" t="s">
        <v>9</v>
      </c>
      <c r="D25" s="22">
        <v>45901</v>
      </c>
      <c r="E25" s="17">
        <v>612.80000000000018</v>
      </c>
      <c r="F25" s="1">
        <v>45901</v>
      </c>
    </row>
    <row r="26" spans="1:6" x14ac:dyDescent="0.3">
      <c r="A26" t="s">
        <v>11</v>
      </c>
      <c r="B26" t="s">
        <v>38</v>
      </c>
      <c r="C26" t="s">
        <v>4</v>
      </c>
      <c r="D26" s="22">
        <v>45658</v>
      </c>
      <c r="E26" s="17">
        <v>259.5</v>
      </c>
      <c r="F26" s="1">
        <v>45658</v>
      </c>
    </row>
    <row r="27" spans="1:6" x14ac:dyDescent="0.3">
      <c r="A27" t="s">
        <v>11</v>
      </c>
      <c r="B27" t="s">
        <v>38</v>
      </c>
      <c r="C27" t="s">
        <v>4</v>
      </c>
      <c r="D27" s="22">
        <v>45689</v>
      </c>
      <c r="E27" s="17">
        <v>239.19999999999993</v>
      </c>
      <c r="F27" s="1">
        <v>45689</v>
      </c>
    </row>
    <row r="28" spans="1:6" x14ac:dyDescent="0.3">
      <c r="A28" t="s">
        <v>11</v>
      </c>
      <c r="B28" t="s">
        <v>38</v>
      </c>
      <c r="C28" t="s">
        <v>4</v>
      </c>
      <c r="D28" s="22">
        <v>45717</v>
      </c>
      <c r="E28" s="17">
        <v>272.39999999999998</v>
      </c>
      <c r="F28" s="1">
        <v>45717</v>
      </c>
    </row>
    <row r="29" spans="1:6" x14ac:dyDescent="0.3">
      <c r="A29" t="s">
        <v>11</v>
      </c>
      <c r="B29" t="s">
        <v>38</v>
      </c>
      <c r="C29" t="s">
        <v>4</v>
      </c>
      <c r="D29" s="22">
        <v>45748</v>
      </c>
      <c r="E29" s="17">
        <v>269.90000000000032</v>
      </c>
      <c r="F29" s="1">
        <v>45748</v>
      </c>
    </row>
    <row r="30" spans="1:6" x14ac:dyDescent="0.3">
      <c r="A30" t="s">
        <v>11</v>
      </c>
      <c r="B30" t="s">
        <v>38</v>
      </c>
      <c r="C30" t="s">
        <v>4</v>
      </c>
      <c r="D30" s="22">
        <v>45778</v>
      </c>
      <c r="E30" s="17">
        <v>270.09999999999968</v>
      </c>
      <c r="F30" s="1">
        <v>45778</v>
      </c>
    </row>
    <row r="31" spans="1:6" x14ac:dyDescent="0.3">
      <c r="A31" t="s">
        <v>11</v>
      </c>
      <c r="B31" t="s">
        <v>38</v>
      </c>
      <c r="C31" t="s">
        <v>4</v>
      </c>
      <c r="D31" s="22">
        <v>45809</v>
      </c>
      <c r="E31" s="17">
        <v>257.7000000000005</v>
      </c>
      <c r="F31" s="1">
        <v>45809</v>
      </c>
    </row>
    <row r="32" spans="1:6" x14ac:dyDescent="0.3">
      <c r="A32" t="s">
        <v>11</v>
      </c>
      <c r="B32" t="s">
        <v>38</v>
      </c>
      <c r="C32" t="s">
        <v>4</v>
      </c>
      <c r="D32" s="22">
        <v>45839</v>
      </c>
      <c r="E32" s="17">
        <v>268.99999999999977</v>
      </c>
      <c r="F32" s="1">
        <v>45839</v>
      </c>
    </row>
    <row r="33" spans="1:6" x14ac:dyDescent="0.3">
      <c r="A33" t="s">
        <v>11</v>
      </c>
      <c r="B33" t="s">
        <v>38</v>
      </c>
      <c r="C33" t="s">
        <v>4</v>
      </c>
      <c r="D33" s="22">
        <v>45870</v>
      </c>
      <c r="E33" s="17">
        <v>268.20000000000027</v>
      </c>
      <c r="F33" s="1">
        <v>45870</v>
      </c>
    </row>
    <row r="34" spans="1:6" x14ac:dyDescent="0.3">
      <c r="A34" t="s">
        <v>11</v>
      </c>
      <c r="B34" t="s">
        <v>38</v>
      </c>
      <c r="C34" t="s">
        <v>4</v>
      </c>
      <c r="D34" s="22">
        <v>45901</v>
      </c>
      <c r="E34" s="17">
        <v>278.79999999999973</v>
      </c>
      <c r="F34" s="1">
        <v>45901</v>
      </c>
    </row>
    <row r="35" spans="1:6" x14ac:dyDescent="0.3">
      <c r="A35" t="s">
        <v>11</v>
      </c>
      <c r="B35" t="s">
        <v>38</v>
      </c>
      <c r="C35" t="s">
        <v>6</v>
      </c>
      <c r="D35" s="22">
        <v>45658</v>
      </c>
      <c r="E35" s="17">
        <v>193.2</v>
      </c>
      <c r="F35" s="1">
        <v>45658</v>
      </c>
    </row>
    <row r="36" spans="1:6" x14ac:dyDescent="0.3">
      <c r="A36" t="s">
        <v>11</v>
      </c>
      <c r="B36" t="s">
        <v>38</v>
      </c>
      <c r="C36" t="s">
        <v>6</v>
      </c>
      <c r="D36" s="22">
        <v>45689</v>
      </c>
      <c r="E36" s="17">
        <v>199.5</v>
      </c>
      <c r="F36" s="1">
        <v>45689</v>
      </c>
    </row>
    <row r="37" spans="1:6" x14ac:dyDescent="0.3">
      <c r="A37" t="s">
        <v>11</v>
      </c>
      <c r="B37" t="s">
        <v>38</v>
      </c>
      <c r="C37" t="s">
        <v>6</v>
      </c>
      <c r="D37" s="22">
        <v>45717</v>
      </c>
      <c r="E37" s="17">
        <v>283.50000000000006</v>
      </c>
      <c r="F37" s="1">
        <v>45717</v>
      </c>
    </row>
    <row r="38" spans="1:6" x14ac:dyDescent="0.3">
      <c r="A38" t="s">
        <v>11</v>
      </c>
      <c r="B38" t="s">
        <v>38</v>
      </c>
      <c r="C38" t="s">
        <v>6</v>
      </c>
      <c r="D38" s="22">
        <v>45748</v>
      </c>
      <c r="E38" s="17">
        <v>334.39999999999986</v>
      </c>
      <c r="F38" s="1">
        <v>45748</v>
      </c>
    </row>
    <row r="39" spans="1:6" x14ac:dyDescent="0.3">
      <c r="A39" t="s">
        <v>11</v>
      </c>
      <c r="B39" t="s">
        <v>38</v>
      </c>
      <c r="C39" t="s">
        <v>6</v>
      </c>
      <c r="D39" s="22">
        <v>45778</v>
      </c>
      <c r="E39" s="17">
        <v>415.39999999999986</v>
      </c>
      <c r="F39" s="1">
        <v>45778</v>
      </c>
    </row>
    <row r="40" spans="1:6" x14ac:dyDescent="0.3">
      <c r="A40" t="s">
        <v>11</v>
      </c>
      <c r="B40" t="s">
        <v>38</v>
      </c>
      <c r="C40" t="s">
        <v>6</v>
      </c>
      <c r="D40" s="22">
        <v>45809</v>
      </c>
      <c r="E40" s="17">
        <v>399.70000000000027</v>
      </c>
      <c r="F40" s="1">
        <v>45809</v>
      </c>
    </row>
    <row r="41" spans="1:6" x14ac:dyDescent="0.3">
      <c r="A41" t="s">
        <v>11</v>
      </c>
      <c r="B41" t="s">
        <v>38</v>
      </c>
      <c r="C41" t="s">
        <v>6</v>
      </c>
      <c r="D41" s="22">
        <v>45839</v>
      </c>
      <c r="E41" s="17">
        <v>394.39999999999986</v>
      </c>
      <c r="F41" s="1">
        <v>45839</v>
      </c>
    </row>
    <row r="42" spans="1:6" x14ac:dyDescent="0.3">
      <c r="A42" t="s">
        <v>11</v>
      </c>
      <c r="B42" t="s">
        <v>38</v>
      </c>
      <c r="C42" t="s">
        <v>6</v>
      </c>
      <c r="D42" s="22">
        <v>45870</v>
      </c>
      <c r="E42" s="17">
        <v>372.00000000000045</v>
      </c>
      <c r="F42" s="1">
        <v>45870</v>
      </c>
    </row>
    <row r="43" spans="1:6" x14ac:dyDescent="0.3">
      <c r="A43" t="s">
        <v>11</v>
      </c>
      <c r="B43" t="s">
        <v>38</v>
      </c>
      <c r="C43" t="s">
        <v>6</v>
      </c>
      <c r="D43" s="22">
        <v>45901</v>
      </c>
      <c r="E43" s="17">
        <v>334</v>
      </c>
      <c r="F43" s="1">
        <v>45901</v>
      </c>
    </row>
    <row r="44" spans="1:6" x14ac:dyDescent="0.3">
      <c r="A44" t="s">
        <v>11</v>
      </c>
      <c r="B44" t="s">
        <v>38</v>
      </c>
      <c r="C44" t="s">
        <v>9</v>
      </c>
      <c r="D44" s="22">
        <v>46023</v>
      </c>
      <c r="E44" s="17">
        <v>421.2</v>
      </c>
      <c r="F44" s="1">
        <v>46023</v>
      </c>
    </row>
    <row r="45" spans="1:6" x14ac:dyDescent="0.3">
      <c r="A45" t="s">
        <v>11</v>
      </c>
      <c r="B45" t="s">
        <v>38</v>
      </c>
      <c r="C45" t="s">
        <v>4</v>
      </c>
      <c r="D45" s="22">
        <v>46023</v>
      </c>
      <c r="E45" s="17">
        <v>269.89999999999998</v>
      </c>
      <c r="F45" s="1">
        <v>46023</v>
      </c>
    </row>
    <row r="46" spans="1:6" x14ac:dyDescent="0.3">
      <c r="A46" t="s">
        <v>11</v>
      </c>
      <c r="B46" t="s">
        <v>38</v>
      </c>
      <c r="C46" t="s">
        <v>6</v>
      </c>
      <c r="D46" s="22">
        <v>46023</v>
      </c>
      <c r="E46" s="17">
        <v>151.30000000000001</v>
      </c>
      <c r="F46" s="1">
        <v>46023</v>
      </c>
    </row>
    <row r="47" spans="1:6" x14ac:dyDescent="0.3">
      <c r="A47" t="s">
        <v>11</v>
      </c>
      <c r="B47" t="s">
        <v>38</v>
      </c>
      <c r="C47" t="s">
        <v>9</v>
      </c>
      <c r="D47" s="22">
        <v>46054</v>
      </c>
      <c r="E47" s="17">
        <v>397.59999999999997</v>
      </c>
      <c r="F47" s="1">
        <v>46054</v>
      </c>
    </row>
    <row r="48" spans="1:6" x14ac:dyDescent="0.3">
      <c r="A48" t="s">
        <v>11</v>
      </c>
      <c r="B48" t="s">
        <v>38</v>
      </c>
      <c r="C48" t="s">
        <v>4</v>
      </c>
      <c r="D48" s="22">
        <v>46054</v>
      </c>
      <c r="E48" s="17">
        <v>249.60000000000002</v>
      </c>
      <c r="F48" s="1">
        <v>46054</v>
      </c>
    </row>
    <row r="49" spans="1:6" x14ac:dyDescent="0.3">
      <c r="A49" t="s">
        <v>11</v>
      </c>
      <c r="B49" t="s">
        <v>38</v>
      </c>
      <c r="C49" t="s">
        <v>6</v>
      </c>
      <c r="D49" s="22">
        <v>46054</v>
      </c>
      <c r="E49" s="17">
        <v>148</v>
      </c>
      <c r="F49" s="1">
        <v>46054</v>
      </c>
    </row>
    <row r="50" spans="1:6" x14ac:dyDescent="0.3">
      <c r="A50" t="s">
        <v>11</v>
      </c>
      <c r="B50" t="s">
        <v>38</v>
      </c>
      <c r="C50" t="s">
        <v>9</v>
      </c>
      <c r="D50" s="22">
        <v>46082</v>
      </c>
      <c r="E50" s="17">
        <v>496.20000000000005</v>
      </c>
      <c r="F50" s="1">
        <v>46082</v>
      </c>
    </row>
    <row r="51" spans="1:6" x14ac:dyDescent="0.3">
      <c r="A51" t="s">
        <v>11</v>
      </c>
      <c r="B51" t="s">
        <v>38</v>
      </c>
      <c r="C51" t="s">
        <v>4</v>
      </c>
      <c r="D51" s="22">
        <v>46082</v>
      </c>
      <c r="E51" s="17">
        <v>285.8</v>
      </c>
      <c r="F51" s="1">
        <v>46082</v>
      </c>
    </row>
    <row r="52" spans="1:6" x14ac:dyDescent="0.3">
      <c r="A52" t="s">
        <v>11</v>
      </c>
      <c r="B52" t="s">
        <v>38</v>
      </c>
      <c r="C52" t="s">
        <v>6</v>
      </c>
      <c r="D52" s="22">
        <v>46082</v>
      </c>
      <c r="E52" s="17">
        <v>210.39999999999998</v>
      </c>
      <c r="F52" s="1">
        <v>46082</v>
      </c>
    </row>
    <row r="53" spans="1:6" x14ac:dyDescent="0.3">
      <c r="A53" t="s">
        <v>11</v>
      </c>
      <c r="B53" t="s">
        <v>38</v>
      </c>
      <c r="C53" t="s">
        <v>9</v>
      </c>
      <c r="D53" s="22">
        <v>46113</v>
      </c>
      <c r="E53">
        <v>528</v>
      </c>
      <c r="F53" s="1">
        <v>46113</v>
      </c>
    </row>
    <row r="54" spans="1:6" x14ac:dyDescent="0.3">
      <c r="A54" t="s">
        <v>11</v>
      </c>
      <c r="B54" t="s">
        <v>38</v>
      </c>
      <c r="C54" t="s">
        <v>4</v>
      </c>
      <c r="D54" s="22">
        <v>46113</v>
      </c>
      <c r="E54">
        <v>277.89999999999998</v>
      </c>
      <c r="F54" s="1">
        <v>46113</v>
      </c>
    </row>
    <row r="55" spans="1:6" x14ac:dyDescent="0.3">
      <c r="A55" t="s">
        <v>11</v>
      </c>
      <c r="B55" t="s">
        <v>38</v>
      </c>
      <c r="C55" t="s">
        <v>6</v>
      </c>
      <c r="D55" s="22">
        <v>46113</v>
      </c>
      <c r="E55">
        <v>250.1</v>
      </c>
      <c r="F55" s="1">
        <v>46113</v>
      </c>
    </row>
    <row r="56" spans="1:6" x14ac:dyDescent="0.3">
      <c r="A56" t="s">
        <v>11</v>
      </c>
      <c r="B56" t="s">
        <v>38</v>
      </c>
      <c r="C56" t="s">
        <v>9</v>
      </c>
      <c r="D56" s="22">
        <v>46143</v>
      </c>
      <c r="E56" s="17">
        <v>585.69999999999982</v>
      </c>
      <c r="F56" s="1">
        <v>46143</v>
      </c>
    </row>
    <row r="57" spans="1:6" x14ac:dyDescent="0.3">
      <c r="A57" t="s">
        <v>11</v>
      </c>
      <c r="B57" t="s">
        <v>38</v>
      </c>
      <c r="C57" t="s">
        <v>4</v>
      </c>
      <c r="D57" s="22">
        <v>46143</v>
      </c>
      <c r="E57" s="17">
        <v>287.79999999999995</v>
      </c>
      <c r="F57" s="1">
        <v>46143</v>
      </c>
    </row>
    <row r="58" spans="1:6" x14ac:dyDescent="0.3">
      <c r="A58" t="s">
        <v>11</v>
      </c>
      <c r="B58" t="s">
        <v>38</v>
      </c>
      <c r="C58" t="s">
        <v>6</v>
      </c>
      <c r="D58" s="22">
        <v>46143</v>
      </c>
      <c r="E58" s="17">
        <v>297.90000000000009</v>
      </c>
      <c r="F58" s="1">
        <v>46143</v>
      </c>
    </row>
    <row r="59" spans="1:6" x14ac:dyDescent="0.3">
      <c r="A59" t="s">
        <v>11</v>
      </c>
      <c r="B59" t="s">
        <v>38</v>
      </c>
      <c r="C59" t="s">
        <v>9</v>
      </c>
      <c r="D59" s="22">
        <v>46174</v>
      </c>
      <c r="E59" s="17">
        <v>566.5</v>
      </c>
      <c r="F59" s="1">
        <v>46174</v>
      </c>
    </row>
    <row r="60" spans="1:6" x14ac:dyDescent="0.3">
      <c r="A60" t="s">
        <v>11</v>
      </c>
      <c r="B60" t="s">
        <v>38</v>
      </c>
      <c r="C60" t="s">
        <v>4</v>
      </c>
      <c r="D60" s="22">
        <v>46174</v>
      </c>
      <c r="E60" s="17">
        <v>283.09999999999991</v>
      </c>
      <c r="F60" s="1">
        <v>46174</v>
      </c>
    </row>
    <row r="61" spans="1:6" x14ac:dyDescent="0.3">
      <c r="A61" t="s">
        <v>11</v>
      </c>
      <c r="B61" t="s">
        <v>38</v>
      </c>
      <c r="C61" t="s">
        <v>6</v>
      </c>
      <c r="D61" s="22">
        <v>46174</v>
      </c>
      <c r="E61" s="17">
        <v>283.39999999999986</v>
      </c>
      <c r="F61" s="1">
        <v>46174</v>
      </c>
    </row>
    <row r="62" spans="1:6" x14ac:dyDescent="0.3">
      <c r="A62" t="s">
        <v>11</v>
      </c>
      <c r="B62" t="s">
        <v>38</v>
      </c>
      <c r="C62" t="s">
        <v>9</v>
      </c>
      <c r="D62" s="22">
        <v>46204</v>
      </c>
      <c r="E62" s="17">
        <v>563.70000000000027</v>
      </c>
      <c r="F62" s="1">
        <v>46204</v>
      </c>
    </row>
    <row r="63" spans="1:6" x14ac:dyDescent="0.3">
      <c r="A63" t="s">
        <v>11</v>
      </c>
      <c r="B63" t="s">
        <v>38</v>
      </c>
      <c r="C63" t="s">
        <v>4</v>
      </c>
      <c r="D63" s="22">
        <v>46204</v>
      </c>
      <c r="E63" s="17">
        <v>281</v>
      </c>
      <c r="F63" s="1">
        <v>46204</v>
      </c>
    </row>
    <row r="64" spans="1:6" x14ac:dyDescent="0.3">
      <c r="A64" t="s">
        <v>11</v>
      </c>
      <c r="B64" t="s">
        <v>38</v>
      </c>
      <c r="C64" t="s">
        <v>6</v>
      </c>
      <c r="D64" s="22">
        <v>46204</v>
      </c>
      <c r="E64" s="17">
        <v>282.70000000000005</v>
      </c>
      <c r="F64" s="1">
        <v>46204</v>
      </c>
    </row>
    <row r="65" spans="1:6" x14ac:dyDescent="0.3">
      <c r="A65" t="s">
        <v>11</v>
      </c>
      <c r="B65" t="s">
        <v>38</v>
      </c>
      <c r="C65" t="s">
        <v>9</v>
      </c>
      <c r="D65" s="22">
        <v>46235</v>
      </c>
      <c r="E65" s="17">
        <v>543.70000000000027</v>
      </c>
      <c r="F65" s="1">
        <v>46235</v>
      </c>
    </row>
    <row r="66" spans="1:6" x14ac:dyDescent="0.3">
      <c r="A66" t="s">
        <v>11</v>
      </c>
      <c r="B66" t="s">
        <v>38</v>
      </c>
      <c r="C66" t="s">
        <v>4</v>
      </c>
      <c r="D66" s="22">
        <v>46235</v>
      </c>
      <c r="E66" s="17">
        <v>275.70000000000027</v>
      </c>
      <c r="F66" s="1">
        <v>46235</v>
      </c>
    </row>
    <row r="67" spans="1:6" x14ac:dyDescent="0.3">
      <c r="A67" t="s">
        <v>11</v>
      </c>
      <c r="B67" t="s">
        <v>38</v>
      </c>
      <c r="C67" t="s">
        <v>6</v>
      </c>
      <c r="D67" s="22">
        <v>46235</v>
      </c>
      <c r="E67" s="17">
        <v>268</v>
      </c>
      <c r="F67" s="1">
        <v>46235</v>
      </c>
    </row>
    <row r="68" spans="1:6" x14ac:dyDescent="0.3">
      <c r="A68" t="s">
        <v>11</v>
      </c>
      <c r="B68" t="s">
        <v>38</v>
      </c>
      <c r="C68" t="s">
        <v>9</v>
      </c>
      <c r="D68" s="22">
        <v>46266</v>
      </c>
      <c r="E68" s="17">
        <v>509.39999999999964</v>
      </c>
      <c r="F68" s="1">
        <v>46266</v>
      </c>
    </row>
    <row r="69" spans="1:6" x14ac:dyDescent="0.3">
      <c r="A69" t="s">
        <v>11</v>
      </c>
      <c r="B69" t="s">
        <v>38</v>
      </c>
      <c r="C69" t="s">
        <v>4</v>
      </c>
      <c r="D69" s="22">
        <v>46266</v>
      </c>
      <c r="E69" s="17">
        <v>266.39999999999964</v>
      </c>
      <c r="F69" s="1">
        <v>46266</v>
      </c>
    </row>
    <row r="70" spans="1:6" x14ac:dyDescent="0.3">
      <c r="A70" t="s">
        <v>11</v>
      </c>
      <c r="B70" t="s">
        <v>38</v>
      </c>
      <c r="C70" t="s">
        <v>6</v>
      </c>
      <c r="D70" s="22">
        <v>46266</v>
      </c>
      <c r="E70" s="17">
        <v>243.00000000000023</v>
      </c>
      <c r="F70" s="1">
        <v>46266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DCF63-4D35-48F7-90B1-A7D70069425E}">
  <dimension ref="A1:AB36"/>
  <sheetViews>
    <sheetView tabSelected="1" workbookViewId="0">
      <selection activeCell="D2" sqref="D2"/>
    </sheetView>
  </sheetViews>
  <sheetFormatPr defaultRowHeight="14.4" x14ac:dyDescent="0.3"/>
  <cols>
    <col min="2" max="2" width="13.33203125" customWidth="1"/>
    <col min="3" max="3" width="21" customWidth="1"/>
    <col min="4" max="4" width="13.5546875" customWidth="1"/>
    <col min="5" max="5" width="12.77734375" customWidth="1"/>
    <col min="6" max="6" width="12.5546875" customWidth="1"/>
    <col min="8" max="8" width="9.44140625" customWidth="1"/>
    <col min="10" max="10" width="22.5546875" customWidth="1"/>
    <col min="27" max="27" width="19" customWidth="1"/>
    <col min="28" max="28" width="10.109375" bestFit="1" customWidth="1"/>
  </cols>
  <sheetData>
    <row r="1" spans="1:28" x14ac:dyDescent="0.3">
      <c r="A1" s="2" t="s">
        <v>0</v>
      </c>
      <c r="B1" s="2" t="s">
        <v>1</v>
      </c>
      <c r="C1" s="2" t="s">
        <v>2</v>
      </c>
      <c r="D1" s="23">
        <f>E$16</f>
        <v>46266</v>
      </c>
      <c r="E1" s="23">
        <f>E$17</f>
        <v>46235</v>
      </c>
      <c r="F1" s="23">
        <f>E$18</f>
        <v>45901</v>
      </c>
      <c r="G1" s="2" t="s">
        <v>57</v>
      </c>
      <c r="H1" s="2" t="str">
        <f>G$1</f>
        <v>26/26</v>
      </c>
      <c r="I1" s="2"/>
      <c r="J1" s="2" t="s">
        <v>58</v>
      </c>
      <c r="K1" s="2" t="str">
        <f>J$1</f>
        <v>26/25</v>
      </c>
      <c r="AA1" s="18" t="str">
        <f>"Січ.-"&amp;
CHOOSE(MOD(ROW()-ROW($A$1),12)+1,
"січ.","лют.","бер.","кві.","тра.","чер.",
"лип.","сер.","вер.","жов.","лис.","гру.")
&amp;" "&amp;(2024+INT((ROW()-ROW($A$1))/12))</f>
        <v>Січ.-січ. 2024</v>
      </c>
      <c r="AB1" s="22">
        <f>DATE(2024,1,1)</f>
        <v>45292</v>
      </c>
    </row>
    <row r="2" spans="1:28" x14ac:dyDescent="0.3">
      <c r="A2" t="s">
        <v>11</v>
      </c>
      <c r="B2" t="s">
        <v>38</v>
      </c>
      <c r="C2" t="s">
        <v>9</v>
      </c>
      <c r="D2" s="17">
        <f>SUMIFS(місяць!$E$2:$E$4687,місяць!$A$2:$A$4687,A2,місяць!$B$2:$B$4687,B2,місяць!$C$2:$C$4687,C2,місяць!$D$2:$D$4687,Лист1!$D$1)</f>
        <v>509.39999999999964</v>
      </c>
      <c r="E2" s="4">
        <f>SUMIFS(місяць!$E$2:$E$4687,місяць!$A$2:$A$4687,A2,місяць!$B$2:$B$4687,B2,місяць!$C$2:$C$4687,C2,місяць!$D$2:$D$4687,Лист1!$E$1)</f>
        <v>543.70000000000027</v>
      </c>
      <c r="F2" s="4">
        <f>SUMIFS(місяць!$E$2:$E$4687,місяць!$A$2:$A$4687,A2,місяць!$B$2:$B$4687,B2,місяць!$C$2:$C$4687,C2,місяць!$D$2:$D$4687,Лист1!$F$1)</f>
        <v>612.80000000000018</v>
      </c>
      <c r="G2" s="4">
        <f>D2-E2</f>
        <v>-34.300000000000637</v>
      </c>
      <c r="H2" s="8">
        <f>(D2/E2)-1</f>
        <v>-6.3086260805592431E-2</v>
      </c>
      <c r="I2" s="6"/>
      <c r="J2" s="4">
        <f>D2-F2</f>
        <v>-103.40000000000055</v>
      </c>
      <c r="K2" s="8">
        <f>(D2/F2)-1</f>
        <v>-0.16873368146214185</v>
      </c>
      <c r="AA2" s="18" t="str">
        <f>"Січ.-"&amp;
CHOOSE(MOD(ROW()-ROW($A$1),12)+1,
"січ.","лют.","бер.","кві.","тра.","чер.",
"лип.","сер.","вер.","жов.","лис.","гру.")
&amp;" "&amp;(2024+INT((ROW()-ROW($A$1))/12))</f>
        <v>Січ.-лют. 2024</v>
      </c>
      <c r="AB2" s="22">
        <f>DATE(YEAR(AB1),MONTH(AB1)+1,1)</f>
        <v>45323</v>
      </c>
    </row>
    <row r="3" spans="1:28" x14ac:dyDescent="0.3">
      <c r="A3" t="s">
        <v>11</v>
      </c>
      <c r="B3" t="s">
        <v>38</v>
      </c>
      <c r="C3" t="s">
        <v>4</v>
      </c>
      <c r="D3" s="17">
        <f>SUMIFS(місяць!$E$2:$E$4687,місяць!$A$2:$A$4687,A3,місяць!$B$2:$B$4687,B3,місяць!$C$2:$C$4687,C3,місяць!$D$2:$D$4687,Лист1!$D$1)</f>
        <v>266.39999999999964</v>
      </c>
      <c r="E3" s="4">
        <f>SUMIFS(місяць!$E$2:$E$4687,місяць!$A$2:$A$4687,A3,місяць!$B$2:$B$4687,B3,місяць!$C$2:$C$4687,C3,місяць!$D$2:$D$4687,Лист1!$E$1)</f>
        <v>275.70000000000027</v>
      </c>
      <c r="F3" s="4">
        <f>SUMIFS(місяць!$E$2:$E$4687,місяць!$A$2:$A$4687,A3,місяць!$B$2:$B$4687,B3,місяць!$C$2:$C$4687,C3,місяць!$D$2:$D$4687,Лист1!$F$1)</f>
        <v>278.79999999999973</v>
      </c>
      <c r="G3" s="4">
        <f t="shared" ref="G3:G4" si="0">D3-E3</f>
        <v>-9.3000000000006366</v>
      </c>
      <c r="H3" s="8">
        <f t="shared" ref="H3:H4" si="1">(D3/E3)-1</f>
        <v>-3.3732317736672623E-2</v>
      </c>
      <c r="J3" s="4">
        <f>D3-F3</f>
        <v>-12.400000000000091</v>
      </c>
      <c r="K3" s="8">
        <f>(D3/F3)-1</f>
        <v>-4.4476327116212744E-2</v>
      </c>
      <c r="M3" t="s">
        <v>4</v>
      </c>
      <c r="N3" s="5">
        <f>D3/D2*100%</f>
        <v>0.52296819787985827</v>
      </c>
      <c r="AA3" s="18" t="str">
        <f t="shared" ref="AA3:AA36" si="2">"Січ.-"&amp;
CHOOSE(MOD(ROW()-ROW($A$1),12)+1,
"січ.","лют.","бер.","кві.","тра.","чер.",
"лип.","сер.","вер.","жов.","лис.","гру.")
&amp;" "&amp;(2024+INT((ROW()-ROW($A$1))/12))</f>
        <v>Січ.-бер. 2024</v>
      </c>
      <c r="AB3" s="22">
        <f>DATE(YEAR(AB2),MONTH(AB2)+1,1)</f>
        <v>45352</v>
      </c>
    </row>
    <row r="4" spans="1:28" x14ac:dyDescent="0.3">
      <c r="A4" t="s">
        <v>11</v>
      </c>
      <c r="B4" t="s">
        <v>38</v>
      </c>
      <c r="C4" t="s">
        <v>6</v>
      </c>
      <c r="D4" s="17">
        <f>SUMIFS(місяць!$E$2:$E$4687,місяць!$A$2:$A$4687,A4,місяць!$B$2:$B$4687,B4,місяць!$C$2:$C$4687,C4,місяць!$D$2:$D$4687,Лист1!$D$1)</f>
        <v>243.00000000000023</v>
      </c>
      <c r="E4" s="4">
        <f>SUMIFS(місяць!$E$2:$E$4687,місяць!$A$2:$A$4687,A4,місяць!$B$2:$B$4687,B4,місяць!$C$2:$C$4687,C4,місяць!$D$2:$D$4687,Лист1!$E$1)</f>
        <v>268</v>
      </c>
      <c r="F4" s="4">
        <f>SUMIFS(місяць!$E$2:$E$4687,місяць!$A$2:$A$4687,A4,місяць!$B$2:$B$4687,B4,місяць!$C$2:$C$4687,C4,місяць!$D$2:$D$4687,Лист1!$F$1)</f>
        <v>334</v>
      </c>
      <c r="G4" s="4">
        <f t="shared" si="0"/>
        <v>-24.999999999999773</v>
      </c>
      <c r="H4" s="8">
        <f t="shared" si="1"/>
        <v>-9.3283582089551342E-2</v>
      </c>
      <c r="J4" s="4">
        <f>D4-F4</f>
        <v>-90.999999999999773</v>
      </c>
      <c r="K4" s="8">
        <f>(D4/F4)-1</f>
        <v>-0.2724550898203586</v>
      </c>
      <c r="M4" t="s">
        <v>6</v>
      </c>
      <c r="N4" s="5">
        <f>D4/D2*100%</f>
        <v>0.47703180212014212</v>
      </c>
      <c r="AA4" s="18" t="str">
        <f t="shared" si="2"/>
        <v>Січ.-кві. 2024</v>
      </c>
      <c r="AB4" s="22">
        <f t="shared" ref="AB4:AB36" si="3">DATE(YEAR(AB3),MONTH(AB3)+1,1)</f>
        <v>45383</v>
      </c>
    </row>
    <row r="5" spans="1:28" x14ac:dyDescent="0.3">
      <c r="D5" s="7"/>
      <c r="E5" s="7"/>
      <c r="F5" s="7"/>
      <c r="G5" s="7"/>
      <c r="H5" s="5"/>
      <c r="J5" s="7"/>
      <c r="K5" s="5"/>
      <c r="AA5" s="18" t="str">
        <f t="shared" si="2"/>
        <v>Січ.-тра. 2024</v>
      </c>
      <c r="AB5" s="22">
        <f t="shared" si="3"/>
        <v>45413</v>
      </c>
    </row>
    <row r="6" spans="1:28" x14ac:dyDescent="0.3">
      <c r="AA6" s="18" t="str">
        <f t="shared" si="2"/>
        <v>Січ.-чер. 2024</v>
      </c>
      <c r="AB6" s="22">
        <f t="shared" si="3"/>
        <v>45444</v>
      </c>
    </row>
    <row r="7" spans="1:28" x14ac:dyDescent="0.3">
      <c r="AA7" s="18" t="str">
        <f t="shared" si="2"/>
        <v>Січ.-лип. 2024</v>
      </c>
      <c r="AB7" s="22">
        <f t="shared" si="3"/>
        <v>45474</v>
      </c>
    </row>
    <row r="8" spans="1:28" x14ac:dyDescent="0.3">
      <c r="A8" s="2" t="s">
        <v>0</v>
      </c>
      <c r="B8" s="2" t="s">
        <v>1</v>
      </c>
      <c r="C8" s="2" t="s">
        <v>2</v>
      </c>
      <c r="D8" s="3" t="str">
        <f>B$16</f>
        <v>Січ.-вер. 2026</v>
      </c>
      <c r="E8" s="3" t="str">
        <f>B$17</f>
        <v>Січ.-сер. 2026</v>
      </c>
      <c r="F8" s="3" t="str">
        <f>B$18</f>
        <v>Січ.-вер. 2025</v>
      </c>
      <c r="G8" s="2" t="s">
        <v>58</v>
      </c>
      <c r="H8" s="2" t="s">
        <v>58</v>
      </c>
      <c r="I8" s="2"/>
      <c r="M8" t="s">
        <v>68</v>
      </c>
      <c r="AA8" s="18" t="str">
        <f t="shared" si="2"/>
        <v>Січ.-сер. 2024</v>
      </c>
      <c r="AB8" s="22">
        <f t="shared" si="3"/>
        <v>45505</v>
      </c>
    </row>
    <row r="9" spans="1:28" x14ac:dyDescent="0.3">
      <c r="A9" t="s">
        <v>11</v>
      </c>
      <c r="B9" t="s">
        <v>38</v>
      </c>
      <c r="C9" t="s">
        <v>9</v>
      </c>
      <c r="D9" s="7">
        <f>SUMIFS(період!$E$2:$E$4746,період!$A$2:$A$4746,A9,період!$B$2:$B$4746,B9,період!$C$2:$C$4746,Лист1!C9,період!$D$2:$D$4746,Лист1!$D$8)</f>
        <v>4612</v>
      </c>
      <c r="E9" s="7">
        <f>SUMIFS(період!$E$2:$E$4746,період!$A$2:$A$4746,A9,період!$B$2:$B$4746,B9,період!$C$2:$C$4746,Лист1!C9,період!$D$2:$D$4746,Лист1!$E$8)</f>
        <v>4102.6000000000004</v>
      </c>
      <c r="F9" s="7">
        <f>SUMIFS(період!$E$2:$E$4746,період!$A$2:$A$4746,A9,період!$B$2:$B$4746,B9,період!$C$2:$C$4746,Лист1!C9,період!$D$2:$D$4746,Лист1!$F$8)</f>
        <v>5310.9</v>
      </c>
      <c r="G9" s="4">
        <f>D9-F9</f>
        <v>-698.89999999999964</v>
      </c>
      <c r="H9" s="5">
        <f>(D9/F9)-1</f>
        <v>-0.13159728106347313</v>
      </c>
      <c r="I9" s="6"/>
      <c r="M9" s="7">
        <f>D9-E9</f>
        <v>509.39999999999964</v>
      </c>
      <c r="AA9" s="18" t="str">
        <f t="shared" si="2"/>
        <v>Січ.-вер. 2024</v>
      </c>
      <c r="AB9" s="22">
        <f t="shared" si="3"/>
        <v>45536</v>
      </c>
    </row>
    <row r="10" spans="1:28" x14ac:dyDescent="0.3">
      <c r="A10" t="s">
        <v>11</v>
      </c>
      <c r="B10" t="s">
        <v>38</v>
      </c>
      <c r="C10" t="s">
        <v>4</v>
      </c>
      <c r="D10" s="7">
        <f>SUMIFS(період!$E$2:$E$4746,період!$A$2:$A$4746,A10,період!$B$2:$B$4746,B10,період!$C$2:$C$4746,Лист1!C10,період!$D$2:$D$4746,Лист1!$D$8)</f>
        <v>2477.1999999999998</v>
      </c>
      <c r="E10" s="7">
        <f>SUMIFS(період!$E$2:$E$4746,період!$A$2:$A$4746,A10,період!$B$2:$B$4746,B10,період!$C$2:$C$4746,Лист1!C10,період!$D$2:$D$4746,Лист1!$E$8)</f>
        <v>2210.8000000000002</v>
      </c>
      <c r="F10" s="7">
        <f>SUMIFS(період!$E$2:$E$4746,період!$A$2:$A$4746,A10,період!$B$2:$B$4746,B10,період!$C$2:$C$4746,Лист1!C10,період!$D$2:$D$4746,Лист1!$F$8)</f>
        <v>2384.8000000000002</v>
      </c>
      <c r="G10" s="4">
        <f>D10-F10</f>
        <v>92.399999999999636</v>
      </c>
      <c r="H10" s="5">
        <f>(D10/F10)-1</f>
        <v>3.8745387453874347E-2</v>
      </c>
      <c r="J10" t="s">
        <v>4</v>
      </c>
      <c r="K10" s="5">
        <f>D10/D9*100%</f>
        <v>0.5371205550737207</v>
      </c>
      <c r="M10" s="7">
        <f t="shared" ref="M10:M11" si="4">D10-E10</f>
        <v>266.39999999999964</v>
      </c>
      <c r="AA10" s="18" t="str">
        <f t="shared" si="2"/>
        <v>Січ.-жов. 2024</v>
      </c>
      <c r="AB10" s="22">
        <f t="shared" si="3"/>
        <v>45566</v>
      </c>
    </row>
    <row r="11" spans="1:28" x14ac:dyDescent="0.3">
      <c r="A11" t="s">
        <v>11</v>
      </c>
      <c r="B11" t="s">
        <v>38</v>
      </c>
      <c r="C11" t="s">
        <v>6</v>
      </c>
      <c r="D11" s="7">
        <f>SUMIFS(період!$E$2:$E$4746,період!$A$2:$A$4746,A11,період!$B$2:$B$4746,B11,період!$C$2:$C$4746,Лист1!C11,період!$D$2:$D$4746,Лист1!$D$8)</f>
        <v>2134.8000000000002</v>
      </c>
      <c r="E11" s="7">
        <f>SUMIFS(період!$E$2:$E$4746,період!$A$2:$A$4746,A11,період!$B$2:$B$4746,B11,період!$C$2:$C$4746,Лист1!C11,період!$D$2:$D$4746,Лист1!$E$8)</f>
        <v>1891.8</v>
      </c>
      <c r="F11" s="7">
        <f>SUMIFS(період!$E$2:$E$4746,період!$A$2:$A$4746,A11,період!$B$2:$B$4746,B11,період!$C$2:$C$4746,Лист1!C11,період!$D$2:$D$4746,Лист1!$F$8)</f>
        <v>2926.1</v>
      </c>
      <c r="G11" s="4">
        <f>D11-F11</f>
        <v>-791.29999999999973</v>
      </c>
      <c r="H11" s="5">
        <f>(D11/F11)-1</f>
        <v>-0.27042821503024495</v>
      </c>
      <c r="J11" t="s">
        <v>6</v>
      </c>
      <c r="K11" s="5">
        <f>D11/D9*100%</f>
        <v>0.4628794449262793</v>
      </c>
      <c r="M11" s="7">
        <f t="shared" si="4"/>
        <v>243.00000000000023</v>
      </c>
      <c r="AA11" s="18" t="str">
        <f t="shared" si="2"/>
        <v>Січ.-лис. 2024</v>
      </c>
      <c r="AB11" s="22">
        <f t="shared" si="3"/>
        <v>45597</v>
      </c>
    </row>
    <row r="12" spans="1:28" x14ac:dyDescent="0.3">
      <c r="D12" s="4"/>
      <c r="E12" s="4"/>
      <c r="F12" s="4"/>
      <c r="G12" s="7"/>
      <c r="H12" s="5"/>
      <c r="K12" s="5"/>
      <c r="AA12" s="18" t="str">
        <f t="shared" si="2"/>
        <v>Січ.-гру. 2024</v>
      </c>
      <c r="AB12" s="22">
        <f t="shared" si="3"/>
        <v>45627</v>
      </c>
    </row>
    <row r="13" spans="1:28" x14ac:dyDescent="0.3">
      <c r="E13" s="7"/>
      <c r="F13" s="7"/>
      <c r="AA13" s="18" t="str">
        <f t="shared" si="2"/>
        <v>Січ.-січ. 2025</v>
      </c>
      <c r="AB13" s="22">
        <f t="shared" si="3"/>
        <v>45658</v>
      </c>
    </row>
    <row r="14" spans="1:28" x14ac:dyDescent="0.3">
      <c r="A14" s="2" t="s">
        <v>39</v>
      </c>
      <c r="D14" s="2" t="s">
        <v>40</v>
      </c>
      <c r="AA14" s="18" t="str">
        <f t="shared" si="2"/>
        <v>Січ.-лют. 2025</v>
      </c>
      <c r="AB14" s="22">
        <f t="shared" si="3"/>
        <v>45689</v>
      </c>
    </row>
    <row r="15" spans="1:28" x14ac:dyDescent="0.3">
      <c r="A15" s="2"/>
      <c r="AA15" s="18" t="str">
        <f t="shared" si="2"/>
        <v>Січ.-бер. 2025</v>
      </c>
      <c r="AB15" s="22">
        <f t="shared" si="3"/>
        <v>45717</v>
      </c>
    </row>
    <row r="16" spans="1:28" x14ac:dyDescent="0.3">
      <c r="A16" t="s">
        <v>32</v>
      </c>
      <c r="B16" s="1" t="s">
        <v>85</v>
      </c>
      <c r="D16" t="s">
        <v>32</v>
      </c>
      <c r="E16" s="22">
        <v>46266</v>
      </c>
      <c r="AA16" s="18" t="str">
        <f t="shared" si="2"/>
        <v>Січ.-кві. 2025</v>
      </c>
      <c r="AB16" s="22">
        <f t="shared" si="3"/>
        <v>45748</v>
      </c>
    </row>
    <row r="17" spans="1:28" x14ac:dyDescent="0.3">
      <c r="A17" t="s">
        <v>33</v>
      </c>
      <c r="B17" s="1" t="s">
        <v>84</v>
      </c>
      <c r="D17" t="s">
        <v>33</v>
      </c>
      <c r="E17" s="22">
        <v>46235</v>
      </c>
      <c r="AA17" s="18" t="str">
        <f t="shared" si="2"/>
        <v>Січ.-тра. 2025</v>
      </c>
      <c r="AB17" s="22">
        <f t="shared" si="3"/>
        <v>45778</v>
      </c>
    </row>
    <row r="18" spans="1:28" x14ac:dyDescent="0.3">
      <c r="A18" t="s">
        <v>34</v>
      </c>
      <c r="B18" s="1" t="s">
        <v>86</v>
      </c>
      <c r="D18" t="s">
        <v>34</v>
      </c>
      <c r="E18" s="22">
        <v>45901</v>
      </c>
      <c r="AA18" s="18" t="str">
        <f t="shared" si="2"/>
        <v>Січ.-чер. 2025</v>
      </c>
      <c r="AB18" s="22">
        <f t="shared" si="3"/>
        <v>45809</v>
      </c>
    </row>
    <row r="19" spans="1:28" x14ac:dyDescent="0.3">
      <c r="AA19" s="18" t="str">
        <f t="shared" si="2"/>
        <v>Січ.-лип. 2025</v>
      </c>
      <c r="AB19" s="22">
        <f t="shared" si="3"/>
        <v>45839</v>
      </c>
    </row>
    <row r="20" spans="1:28" x14ac:dyDescent="0.3">
      <c r="AA20" s="18" t="str">
        <f t="shared" si="2"/>
        <v>Січ.-сер. 2025</v>
      </c>
      <c r="AB20" s="22">
        <f t="shared" si="3"/>
        <v>45870</v>
      </c>
    </row>
    <row r="21" spans="1:28" x14ac:dyDescent="0.3">
      <c r="AA21" s="18" t="str">
        <f t="shared" si="2"/>
        <v>Січ.-вер. 2025</v>
      </c>
      <c r="AB21" s="22">
        <f t="shared" si="3"/>
        <v>45901</v>
      </c>
    </row>
    <row r="22" spans="1:28" x14ac:dyDescent="0.3">
      <c r="AA22" s="18" t="str">
        <f t="shared" si="2"/>
        <v>Січ.-жов. 2025</v>
      </c>
      <c r="AB22" s="22">
        <f t="shared" si="3"/>
        <v>45931</v>
      </c>
    </row>
    <row r="23" spans="1:28" x14ac:dyDescent="0.3">
      <c r="AA23" s="18" t="str">
        <f t="shared" si="2"/>
        <v>Січ.-лис. 2025</v>
      </c>
      <c r="AB23" s="22">
        <f t="shared" si="3"/>
        <v>45962</v>
      </c>
    </row>
    <row r="24" spans="1:28" x14ac:dyDescent="0.3">
      <c r="AA24" s="18" t="str">
        <f t="shared" si="2"/>
        <v>Січ.-гру. 2025</v>
      </c>
      <c r="AB24" s="22">
        <f t="shared" si="3"/>
        <v>45992</v>
      </c>
    </row>
    <row r="25" spans="1:28" x14ac:dyDescent="0.3">
      <c r="AA25" s="18" t="str">
        <f t="shared" si="2"/>
        <v>Січ.-січ. 2026</v>
      </c>
      <c r="AB25" s="22">
        <f t="shared" si="3"/>
        <v>46023</v>
      </c>
    </row>
    <row r="26" spans="1:28" x14ac:dyDescent="0.3">
      <c r="AA26" s="18" t="str">
        <f t="shared" si="2"/>
        <v>Січ.-лют. 2026</v>
      </c>
      <c r="AB26" s="22">
        <f t="shared" si="3"/>
        <v>46054</v>
      </c>
    </row>
    <row r="27" spans="1:28" x14ac:dyDescent="0.3">
      <c r="AA27" s="18" t="str">
        <f t="shared" si="2"/>
        <v>Січ.-бер. 2026</v>
      </c>
      <c r="AB27" s="22">
        <f t="shared" si="3"/>
        <v>46082</v>
      </c>
    </row>
    <row r="28" spans="1:28" x14ac:dyDescent="0.3">
      <c r="AA28" s="18" t="str">
        <f t="shared" si="2"/>
        <v>Січ.-кві. 2026</v>
      </c>
      <c r="AB28" s="22">
        <f t="shared" si="3"/>
        <v>46113</v>
      </c>
    </row>
    <row r="29" spans="1:28" x14ac:dyDescent="0.3">
      <c r="AA29" s="18" t="str">
        <f t="shared" si="2"/>
        <v>Січ.-тра. 2026</v>
      </c>
      <c r="AB29" s="22">
        <f t="shared" si="3"/>
        <v>46143</v>
      </c>
    </row>
    <row r="30" spans="1:28" x14ac:dyDescent="0.3">
      <c r="AA30" s="18" t="str">
        <f t="shared" si="2"/>
        <v>Січ.-чер. 2026</v>
      </c>
      <c r="AB30" s="22">
        <f t="shared" si="3"/>
        <v>46174</v>
      </c>
    </row>
    <row r="31" spans="1:28" x14ac:dyDescent="0.3">
      <c r="AA31" s="18" t="str">
        <f t="shared" si="2"/>
        <v>Січ.-лип. 2026</v>
      </c>
      <c r="AB31" s="22">
        <f t="shared" si="3"/>
        <v>46204</v>
      </c>
    </row>
    <row r="32" spans="1:28" x14ac:dyDescent="0.3">
      <c r="AA32" s="18" t="str">
        <f t="shared" si="2"/>
        <v>Січ.-сер. 2026</v>
      </c>
      <c r="AB32" s="22">
        <f t="shared" si="3"/>
        <v>46235</v>
      </c>
    </row>
    <row r="33" spans="27:28" x14ac:dyDescent="0.3">
      <c r="AA33" s="18" t="str">
        <f t="shared" si="2"/>
        <v>Січ.-вер. 2026</v>
      </c>
      <c r="AB33" s="22">
        <f t="shared" si="3"/>
        <v>46266</v>
      </c>
    </row>
    <row r="34" spans="27:28" x14ac:dyDescent="0.3">
      <c r="AA34" s="18" t="str">
        <f t="shared" si="2"/>
        <v>Січ.-жов. 2026</v>
      </c>
      <c r="AB34" s="22">
        <f t="shared" si="3"/>
        <v>46296</v>
      </c>
    </row>
    <row r="35" spans="27:28" x14ac:dyDescent="0.3">
      <c r="AA35" s="18" t="str">
        <f t="shared" si="2"/>
        <v>Січ.-лис. 2026</v>
      </c>
      <c r="AB35" s="22">
        <f t="shared" si="3"/>
        <v>46327</v>
      </c>
    </row>
    <row r="36" spans="27:28" x14ac:dyDescent="0.3">
      <c r="AA36" s="18" t="str">
        <f t="shared" si="2"/>
        <v>Січ.-гру. 2026</v>
      </c>
      <c r="AB36" s="22">
        <f t="shared" si="3"/>
        <v>46357</v>
      </c>
    </row>
  </sheetData>
  <phoneticPr fontId="8" type="noConversion"/>
  <dataValidations count="2">
    <dataValidation type="list" allowBlank="1" showInputMessage="1" showErrorMessage="1" sqref="B16:B18" xr:uid="{213D58D2-6F10-4BAB-B725-F0B8AF56B2CE}">
      <formula1>$AA$1:$AA$36</formula1>
    </dataValidation>
    <dataValidation type="list" allowBlank="1" showInputMessage="1" showErrorMessage="1" sqref="E16:E18" xr:uid="{0E10196A-4BF5-4138-B2EE-E3F3E21A8235}">
      <formula1>$AB$1:$AB$36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4A83-E6EF-405C-AA49-92929B610349}">
  <dimension ref="A1:J25"/>
  <sheetViews>
    <sheetView workbookViewId="0">
      <pane ySplit="1" topLeftCell="A2" activePane="bottomLeft" state="frozen"/>
      <selection pane="bottomLeft" activeCell="N11" sqref="N11"/>
    </sheetView>
  </sheetViews>
  <sheetFormatPr defaultRowHeight="14.4" x14ac:dyDescent="0.3"/>
  <cols>
    <col min="2" max="3" width="9.33203125" customWidth="1"/>
    <col min="4" max="4" width="13.44140625" customWidth="1"/>
    <col min="5" max="5" width="13.33203125" customWidth="1"/>
    <col min="7" max="7" width="10.10937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3" t="str">
        <f>Лист1!B$16</f>
        <v>Січ.-вер. 2026</v>
      </c>
      <c r="E1" s="3" t="str">
        <f>Лист1!B$18</f>
        <v>Січ.-вер. 2025</v>
      </c>
      <c r="F1" s="2" t="str">
        <f>Лист1!J$1</f>
        <v>26/25</v>
      </c>
      <c r="G1" s="3"/>
      <c r="H1" s="2" t="s">
        <v>41</v>
      </c>
      <c r="J1">
        <f>COUNTIF(F2:F25,"&gt;0")</f>
        <v>3</v>
      </c>
    </row>
    <row r="2" spans="1:10" x14ac:dyDescent="0.3">
      <c r="A2" t="s">
        <v>10</v>
      </c>
      <c r="B2" t="s">
        <v>38</v>
      </c>
      <c r="C2" t="s">
        <v>9</v>
      </c>
      <c r="D2">
        <f>SUMIFS(період!$E$2:$E$4746,період!$A$2:$A$4746,A2,період!$B$2:$B$4746,B2,період!$C$2:$C$4746,C2,період!$D$2:$D$4746,$D$1)</f>
        <v>414.4</v>
      </c>
      <c r="E2">
        <f>SUMIFS(період!$E$2:$E$4746,період!$A$2:$A$4746,A2,період!$B$2:$B$4746,B2,період!$C$2:$C$4746,C2,період!$D$2:$D$4746,$E$1)</f>
        <v>431.6</v>
      </c>
      <c r="F2" s="9">
        <f>(D2/E2)-1</f>
        <v>-3.9851714550509842E-2</v>
      </c>
      <c r="H2" s="19" t="str">
        <f t="shared" ref="H2:H25" si="0">IF(F2&gt;0,A2,"")</f>
        <v/>
      </c>
      <c r="I2" s="20" t="str">
        <f t="shared" ref="I2:I25" si="1">IF(F2&gt;0,F2,"")</f>
        <v/>
      </c>
    </row>
    <row r="3" spans="1:10" x14ac:dyDescent="0.3">
      <c r="A3" t="s">
        <v>7</v>
      </c>
      <c r="B3" t="s">
        <v>38</v>
      </c>
      <c r="C3" t="s">
        <v>9</v>
      </c>
      <c r="D3">
        <f>SUMIFS(період!$E$2:$E$4746,період!$A$2:$A$4746,A3,період!$B$2:$B$4746,B3,період!$C$2:$C$4746,C3,період!$D$2:$D$4746,$D$1)</f>
        <v>189.1</v>
      </c>
      <c r="E3">
        <f>SUMIFS(період!$E$2:$E$4746,період!$A$2:$A$4746,A3,період!$B$2:$B$4746,B3,період!$C$2:$C$4746,C3,період!$D$2:$D$4746,$E$1)</f>
        <v>214</v>
      </c>
      <c r="F3" s="9">
        <f t="shared" ref="F3:F11" si="2">(D3/E3)-1</f>
        <v>-0.11635514018691595</v>
      </c>
      <c r="H3" s="19" t="str">
        <f t="shared" si="0"/>
        <v/>
      </c>
      <c r="I3" s="20" t="str">
        <f t="shared" si="1"/>
        <v/>
      </c>
    </row>
    <row r="4" spans="1:10" x14ac:dyDescent="0.3">
      <c r="A4" t="s">
        <v>5</v>
      </c>
      <c r="B4" t="s">
        <v>38</v>
      </c>
      <c r="C4" t="s">
        <v>9</v>
      </c>
      <c r="D4">
        <f>SUMIFS(період!$E$2:$E$4746,період!$A$2:$A$4746,A4,період!$B$2:$B$4746,B4,період!$C$2:$C$4746,C4,період!$D$2:$D$4746,$D$1)</f>
        <v>125.8</v>
      </c>
      <c r="E4">
        <f>SUMIFS(період!$E$2:$E$4746,період!$A$2:$A$4746,A4,період!$B$2:$B$4746,B4,період!$C$2:$C$4746,C4,період!$D$2:$D$4746,$E$1)</f>
        <v>148.9</v>
      </c>
      <c r="F4" s="9">
        <f t="shared" si="2"/>
        <v>-0.15513767629281405</v>
      </c>
      <c r="H4" s="19" t="str">
        <f t="shared" si="0"/>
        <v/>
      </c>
      <c r="I4" s="20" t="str">
        <f t="shared" si="1"/>
        <v/>
      </c>
    </row>
    <row r="5" spans="1:10" x14ac:dyDescent="0.3">
      <c r="A5" t="s">
        <v>3</v>
      </c>
      <c r="B5" t="s">
        <v>38</v>
      </c>
      <c r="C5" t="s">
        <v>9</v>
      </c>
      <c r="D5">
        <f>SUMIFS(період!$E$2:$E$4746,період!$A$2:$A$4746,A5,період!$B$2:$B$4746,B5,період!$C$2:$C$4746,C5,період!$D$2:$D$4746,$D$1)</f>
        <v>4.5</v>
      </c>
      <c r="E5">
        <f>SUMIFS(період!$E$2:$E$4746,період!$A$2:$A$4746,A5,період!$B$2:$B$4746,B5,період!$C$2:$C$4746,C5,період!$D$2:$D$4746,$E$1)</f>
        <v>13.4</v>
      </c>
      <c r="F5" s="9">
        <f t="shared" si="2"/>
        <v>-0.66417910447761197</v>
      </c>
      <c r="H5" s="19" t="str">
        <f t="shared" si="0"/>
        <v/>
      </c>
      <c r="I5" s="20" t="str">
        <f t="shared" si="1"/>
        <v/>
      </c>
    </row>
    <row r="6" spans="1:10" x14ac:dyDescent="0.3">
      <c r="A6" t="s">
        <v>8</v>
      </c>
      <c r="B6" t="s">
        <v>38</v>
      </c>
      <c r="C6" t="s">
        <v>9</v>
      </c>
      <c r="D6">
        <f>SUMIFS(період!$E$2:$E$4746,період!$A$2:$A$4746,A6,період!$B$2:$B$4746,B6,період!$C$2:$C$4746,C6,період!$D$2:$D$4746,$D$1)</f>
        <v>248.5</v>
      </c>
      <c r="E6">
        <f>SUMIFS(період!$E$2:$E$4746,період!$A$2:$A$4746,A6,період!$B$2:$B$4746,B6,період!$C$2:$C$4746,C6,період!$D$2:$D$4746,$E$1)</f>
        <v>305.5</v>
      </c>
      <c r="F6" s="9">
        <f t="shared" si="2"/>
        <v>-0.18657937806873981</v>
      </c>
      <c r="H6" s="19" t="str">
        <f t="shared" si="0"/>
        <v/>
      </c>
      <c r="I6" s="20" t="str">
        <f t="shared" si="1"/>
        <v/>
      </c>
    </row>
    <row r="7" spans="1:10" x14ac:dyDescent="0.3">
      <c r="A7" t="s">
        <v>13</v>
      </c>
      <c r="B7" t="s">
        <v>38</v>
      </c>
      <c r="C7" t="s">
        <v>9</v>
      </c>
      <c r="D7">
        <f>SUMIFS(період!$E$2:$E$4746,період!$A$2:$A$4746,A7,період!$B$2:$B$4746,B7,період!$C$2:$C$4746,C7,період!$D$2:$D$4746,$D$1)</f>
        <v>59.2</v>
      </c>
      <c r="E7">
        <f>SUMIFS(період!$E$2:$E$4746,період!$A$2:$A$4746,A7,період!$B$2:$B$4746,B7,період!$C$2:$C$4746,C7,період!$D$2:$D$4746,$E$1)</f>
        <v>161.19999999999999</v>
      </c>
      <c r="F7" s="9">
        <f t="shared" si="2"/>
        <v>-0.63275434243176176</v>
      </c>
      <c r="H7" s="19" t="str">
        <f t="shared" si="0"/>
        <v/>
      </c>
      <c r="I7" s="20" t="str">
        <f t="shared" si="1"/>
        <v/>
      </c>
    </row>
    <row r="8" spans="1:10" x14ac:dyDescent="0.3">
      <c r="A8" t="s">
        <v>14</v>
      </c>
      <c r="B8" t="s">
        <v>38</v>
      </c>
      <c r="C8" t="s">
        <v>9</v>
      </c>
      <c r="D8">
        <f>SUMIFS(період!$E$2:$E$4746,період!$A$2:$A$4746,A8,період!$B$2:$B$4746,B8,період!$C$2:$C$4746,C8,період!$D$2:$D$4746,$D$1)</f>
        <v>8.6</v>
      </c>
      <c r="E8">
        <f>SUMIFS(період!$E$2:$E$4746,період!$A$2:$A$4746,A8,період!$B$2:$B$4746,B8,період!$C$2:$C$4746,C8,період!$D$2:$D$4746,$E$1)</f>
        <v>13.4</v>
      </c>
      <c r="F8" s="9">
        <f t="shared" si="2"/>
        <v>-0.35820895522388063</v>
      </c>
      <c r="H8" s="19" t="str">
        <f t="shared" si="0"/>
        <v/>
      </c>
      <c r="I8" s="20" t="str">
        <f t="shared" si="1"/>
        <v/>
      </c>
    </row>
    <row r="9" spans="1:10" x14ac:dyDescent="0.3">
      <c r="A9" t="s">
        <v>15</v>
      </c>
      <c r="B9" t="s">
        <v>38</v>
      </c>
      <c r="C9" t="s">
        <v>9</v>
      </c>
      <c r="D9">
        <f>SUMIFS(період!$E$2:$E$4746,період!$A$2:$A$4746,A9,період!$B$2:$B$4746,B9,період!$C$2:$C$4746,C9,період!$D$2:$D$4746,$D$1)</f>
        <v>142.5</v>
      </c>
      <c r="E9">
        <f>SUMIFS(період!$E$2:$E$4746,період!$A$2:$A$4746,A9,період!$B$2:$B$4746,B9,період!$C$2:$C$4746,C9,період!$D$2:$D$4746,$E$1)</f>
        <v>180.2</v>
      </c>
      <c r="F9" s="9">
        <f t="shared" si="2"/>
        <v>-0.20921198668146501</v>
      </c>
      <c r="H9" s="19" t="str">
        <f t="shared" si="0"/>
        <v/>
      </c>
      <c r="I9" s="20" t="str">
        <f t="shared" si="1"/>
        <v/>
      </c>
    </row>
    <row r="10" spans="1:10" x14ac:dyDescent="0.3">
      <c r="A10" t="s">
        <v>12</v>
      </c>
      <c r="B10" t="s">
        <v>38</v>
      </c>
      <c r="C10" t="s">
        <v>9</v>
      </c>
      <c r="D10">
        <f>SUMIFS(період!$E$2:$E$4746,період!$A$2:$A$4746,A10,період!$B$2:$B$4746,B10,період!$C$2:$C$4746,C10,період!$D$2:$D$4746,$D$1)</f>
        <v>255.7</v>
      </c>
      <c r="E10">
        <f>SUMIFS(період!$E$2:$E$4746,період!$A$2:$A$4746,A10,період!$B$2:$B$4746,B10,період!$C$2:$C$4746,C10,період!$D$2:$D$4746,$E$1)</f>
        <v>253</v>
      </c>
      <c r="F10" s="9">
        <f t="shared" si="2"/>
        <v>1.0671936758893219E-2</v>
      </c>
      <c r="H10" s="19" t="str">
        <f t="shared" si="0"/>
        <v>Київська</v>
      </c>
      <c r="I10" s="20">
        <f t="shared" si="1"/>
        <v>1.0671936758893219E-2</v>
      </c>
    </row>
    <row r="11" spans="1:10" x14ac:dyDescent="0.3">
      <c r="A11" t="s">
        <v>16</v>
      </c>
      <c r="B11" t="s">
        <v>38</v>
      </c>
      <c r="C11" t="s">
        <v>9</v>
      </c>
      <c r="D11">
        <f>SUMIFS(період!$E$2:$E$4746,період!$A$2:$A$4746,A11,період!$B$2:$B$4746,B11,період!$C$2:$C$4746,C11,період!$D$2:$D$4746,$D$1)</f>
        <v>176</v>
      </c>
      <c r="E11">
        <f>SUMIFS(період!$E$2:$E$4746,період!$A$2:$A$4746,A11,період!$B$2:$B$4746,B11,період!$C$2:$C$4746,C11,період!$D$2:$D$4746,$E$1)</f>
        <v>193.4</v>
      </c>
      <c r="F11" s="9">
        <f t="shared" si="2"/>
        <v>-8.9968976215098251E-2</v>
      </c>
      <c r="H11" s="19" t="str">
        <f t="shared" si="0"/>
        <v/>
      </c>
      <c r="I11" s="20" t="str">
        <f t="shared" si="1"/>
        <v/>
      </c>
    </row>
    <row r="12" spans="1:10" x14ac:dyDescent="0.3">
      <c r="A12" t="s">
        <v>17</v>
      </c>
      <c r="B12" t="s">
        <v>38</v>
      </c>
      <c r="C12" t="s">
        <v>9</v>
      </c>
      <c r="D12">
        <f>SUMIFS(період!$E$2:$E$4746,період!$A$2:$A$4746,A12,період!$B$2:$B$4746,B12,період!$C$2:$C$4746,C12,період!$D$2:$D$4746,$D$1)</f>
        <v>0</v>
      </c>
      <c r="E12">
        <f>SUMIFS(період!$E$2:$E$4746,період!$A$2:$A$4746,A12,період!$B$2:$B$4746,B12,період!$C$2:$C$4746,C12,період!$D$2:$D$4746,$E$1)</f>
        <v>35.1</v>
      </c>
      <c r="F12" s="9">
        <v>0</v>
      </c>
      <c r="H12" s="19" t="str">
        <f t="shared" si="0"/>
        <v/>
      </c>
      <c r="I12" s="20" t="str">
        <f t="shared" si="1"/>
        <v/>
      </c>
    </row>
    <row r="13" spans="1:10" x14ac:dyDescent="0.3">
      <c r="A13" t="s">
        <v>21</v>
      </c>
      <c r="B13" t="s">
        <v>38</v>
      </c>
      <c r="C13" t="s">
        <v>9</v>
      </c>
      <c r="D13">
        <f>SUMIFS(період!$E$2:$E$4746,період!$A$2:$A$4746,A13,період!$B$2:$B$4746,B13,період!$C$2:$C$4746,C13,період!$D$2:$D$4746,$D$1)</f>
        <v>160</v>
      </c>
      <c r="E13">
        <f>SUMIFS(період!$E$2:$E$4746,період!$A$2:$A$4746,A13,період!$B$2:$B$4746,B13,період!$C$2:$C$4746,C13,період!$D$2:$D$4746,$E$1)</f>
        <v>217.8</v>
      </c>
      <c r="F13" s="9">
        <f t="shared" ref="F13:F20" si="3">(D13/E13)-1</f>
        <v>-0.2653810835629018</v>
      </c>
      <c r="H13" s="19" t="str">
        <f t="shared" si="0"/>
        <v/>
      </c>
      <c r="I13" s="20" t="str">
        <f t="shared" si="1"/>
        <v/>
      </c>
    </row>
    <row r="14" spans="1:10" x14ac:dyDescent="0.3">
      <c r="A14" t="s">
        <v>19</v>
      </c>
      <c r="B14" t="s">
        <v>38</v>
      </c>
      <c r="C14" t="s">
        <v>9</v>
      </c>
      <c r="D14">
        <f>SUMIFS(період!$E$2:$E$4746,період!$A$2:$A$4746,A14,період!$B$2:$B$4746,B14,період!$C$2:$C$4746,C14,період!$D$2:$D$4746,$D$1)</f>
        <v>140.80000000000001</v>
      </c>
      <c r="E14">
        <f>SUMIFS(період!$E$2:$E$4746,період!$A$2:$A$4746,A14,період!$B$2:$B$4746,B14,період!$C$2:$C$4746,C14,період!$D$2:$D$4746,$E$1)</f>
        <v>150.9</v>
      </c>
      <c r="F14" s="9">
        <f t="shared" si="3"/>
        <v>-6.6931742876076838E-2</v>
      </c>
      <c r="H14" s="19" t="str">
        <f t="shared" si="0"/>
        <v/>
      </c>
      <c r="I14" s="20" t="str">
        <f t="shared" si="1"/>
        <v/>
      </c>
    </row>
    <row r="15" spans="1:10" x14ac:dyDescent="0.3">
      <c r="A15" t="s">
        <v>20</v>
      </c>
      <c r="B15" t="s">
        <v>38</v>
      </c>
      <c r="C15" t="s">
        <v>9</v>
      </c>
      <c r="D15">
        <f>SUMIFS(період!$E$2:$E$4746,період!$A$2:$A$4746,A15,період!$B$2:$B$4746,B15,період!$C$2:$C$4746,C15,період!$D$2:$D$4746,$D$1)</f>
        <v>207.6</v>
      </c>
      <c r="E15">
        <f>SUMIFS(період!$E$2:$E$4746,період!$A$2:$A$4746,A15,період!$B$2:$B$4746,B15,період!$C$2:$C$4746,C15,період!$D$2:$D$4746,$E$1)</f>
        <v>216.7</v>
      </c>
      <c r="F15" s="9">
        <f t="shared" si="3"/>
        <v>-4.1993539455468354E-2</v>
      </c>
      <c r="H15" s="19" t="str">
        <f t="shared" si="0"/>
        <v/>
      </c>
      <c r="I15" s="20" t="str">
        <f t="shared" si="1"/>
        <v/>
      </c>
    </row>
    <row r="16" spans="1:10" x14ac:dyDescent="0.3">
      <c r="A16" t="s">
        <v>18</v>
      </c>
      <c r="B16" t="s">
        <v>38</v>
      </c>
      <c r="C16" t="s">
        <v>9</v>
      </c>
      <c r="D16">
        <f>SUMIFS(період!$E$2:$E$4746,період!$A$2:$A$4746,A16,період!$B$2:$B$4746,B16,період!$C$2:$C$4746,C16,період!$D$2:$D$4746,$D$1)</f>
        <v>476.7</v>
      </c>
      <c r="E16">
        <f>SUMIFS(період!$E$2:$E$4746,період!$A$2:$A$4746,A16,період!$B$2:$B$4746,B16,період!$C$2:$C$4746,C16,період!$D$2:$D$4746,$E$1)</f>
        <v>508.6</v>
      </c>
      <c r="F16" s="9">
        <f t="shared" si="3"/>
        <v>-6.2721195438458555E-2</v>
      </c>
      <c r="H16" s="19" t="str">
        <f t="shared" si="0"/>
        <v/>
      </c>
      <c r="I16" s="20" t="str">
        <f t="shared" si="1"/>
        <v/>
      </c>
    </row>
    <row r="17" spans="1:9" x14ac:dyDescent="0.3">
      <c r="A17" t="s">
        <v>23</v>
      </c>
      <c r="B17" t="s">
        <v>38</v>
      </c>
      <c r="C17" t="s">
        <v>9</v>
      </c>
      <c r="D17">
        <f>SUMIFS(період!$E$2:$E$4746,період!$A$2:$A$4746,A17,період!$B$2:$B$4746,B17,період!$C$2:$C$4746,C17,період!$D$2:$D$4746,$D$1)</f>
        <v>173.3</v>
      </c>
      <c r="E17">
        <f>SUMIFS(період!$E$2:$E$4746,період!$A$2:$A$4746,A17,період!$B$2:$B$4746,B17,період!$C$2:$C$4746,C17,період!$D$2:$D$4746,$E$1)</f>
        <v>195.5</v>
      </c>
      <c r="F17" s="9">
        <f t="shared" si="3"/>
        <v>-0.11355498721227619</v>
      </c>
      <c r="H17" s="19" t="str">
        <f t="shared" si="0"/>
        <v/>
      </c>
      <c r="I17" s="20" t="str">
        <f t="shared" si="1"/>
        <v/>
      </c>
    </row>
    <row r="18" spans="1:9" x14ac:dyDescent="0.3">
      <c r="A18" t="s">
        <v>22</v>
      </c>
      <c r="B18" t="s">
        <v>38</v>
      </c>
      <c r="C18" t="s">
        <v>9</v>
      </c>
      <c r="D18">
        <f>SUMIFS(період!$E$2:$E$4746,період!$A$2:$A$4746,A18,період!$B$2:$B$4746,B18,період!$C$2:$C$4746,C18,період!$D$2:$D$4746,$D$1)</f>
        <v>149.4</v>
      </c>
      <c r="E18">
        <f>SUMIFS(період!$E$2:$E$4746,період!$A$2:$A$4746,A18,період!$B$2:$B$4746,B18,період!$C$2:$C$4746,C18,період!$D$2:$D$4746,$E$1)</f>
        <v>181</v>
      </c>
      <c r="F18" s="9">
        <f t="shared" si="3"/>
        <v>-0.17458563535911598</v>
      </c>
      <c r="H18" s="19" t="str">
        <f t="shared" si="0"/>
        <v/>
      </c>
      <c r="I18" s="20" t="str">
        <f t="shared" si="1"/>
        <v/>
      </c>
    </row>
    <row r="19" spans="1:9" x14ac:dyDescent="0.3">
      <c r="A19" t="s">
        <v>28</v>
      </c>
      <c r="B19" t="s">
        <v>38</v>
      </c>
      <c r="C19" t="s">
        <v>9</v>
      </c>
      <c r="D19">
        <f>SUMIFS(період!$E$2:$E$4746,період!$A$2:$A$4746,A19,період!$B$2:$B$4746,B19,період!$C$2:$C$4746,C19,період!$D$2:$D$4746,$D$1)</f>
        <v>291.3</v>
      </c>
      <c r="E19">
        <f>SUMIFS(період!$E$2:$E$4746,період!$A$2:$A$4746,A19,період!$B$2:$B$4746,B19,період!$C$2:$C$4746,C19,період!$D$2:$D$4746,$E$1)</f>
        <v>382</v>
      </c>
      <c r="F19" s="9">
        <f t="shared" si="3"/>
        <v>-0.23743455497382193</v>
      </c>
      <c r="H19" s="19" t="str">
        <f t="shared" si="0"/>
        <v/>
      </c>
      <c r="I19" s="20" t="str">
        <f t="shared" si="1"/>
        <v/>
      </c>
    </row>
    <row r="20" spans="1:9" x14ac:dyDescent="0.3">
      <c r="A20" t="s">
        <v>29</v>
      </c>
      <c r="B20" t="s">
        <v>38</v>
      </c>
      <c r="C20" t="s">
        <v>9</v>
      </c>
      <c r="D20">
        <f>SUMIFS(період!$E$2:$E$4746,період!$A$2:$A$4746,A20,період!$B$2:$B$4746,B20,період!$C$2:$C$4746,C20,період!$D$2:$D$4746,$D$1)</f>
        <v>168.4</v>
      </c>
      <c r="E20">
        <f>SUMIFS(період!$E$2:$E$4746,період!$A$2:$A$4746,A20,період!$B$2:$B$4746,B20,період!$C$2:$C$4746,C20,період!$D$2:$D$4746,$E$1)</f>
        <v>173.6</v>
      </c>
      <c r="F20" s="9">
        <f t="shared" si="3"/>
        <v>-2.995391705069117E-2</v>
      </c>
      <c r="H20" s="19" t="str">
        <f t="shared" si="0"/>
        <v/>
      </c>
      <c r="I20" s="20" t="str">
        <f t="shared" si="1"/>
        <v/>
      </c>
    </row>
    <row r="21" spans="1:9" x14ac:dyDescent="0.3">
      <c r="A21" t="s">
        <v>24</v>
      </c>
      <c r="B21" t="s">
        <v>38</v>
      </c>
      <c r="C21" t="s">
        <v>9</v>
      </c>
      <c r="D21">
        <f>SUMIFS(період!$E$2:$E$4746,період!$A$2:$A$4746,A21,період!$B$2:$B$4746,B21,період!$C$2:$C$4746,C21,період!$D$2:$D$4746,$D$1)</f>
        <v>31.8</v>
      </c>
      <c r="E21">
        <f>SUMIFS(період!$E$2:$E$4746,період!$A$2:$A$4746,A21,період!$B$2:$B$4746,B21,період!$C$2:$C$4746,C21,період!$D$2:$D$4746,$E$1)</f>
        <v>46</v>
      </c>
      <c r="F21" s="9">
        <v>0</v>
      </c>
      <c r="H21" s="19" t="str">
        <f t="shared" si="0"/>
        <v/>
      </c>
      <c r="I21" s="20" t="str">
        <f t="shared" si="1"/>
        <v/>
      </c>
    </row>
    <row r="22" spans="1:9" x14ac:dyDescent="0.3">
      <c r="A22" t="s">
        <v>27</v>
      </c>
      <c r="B22" t="s">
        <v>38</v>
      </c>
      <c r="C22" t="s">
        <v>9</v>
      </c>
      <c r="D22">
        <f>SUMIFS(період!$E$2:$E$4746,період!$A$2:$A$4746,A22,період!$B$2:$B$4746,B22,період!$C$2:$C$4746,C22,період!$D$2:$D$4746,$D$1)</f>
        <v>433</v>
      </c>
      <c r="E22">
        <f>SUMIFS(період!$E$2:$E$4746,період!$A$2:$A$4746,A22,період!$B$2:$B$4746,B22,період!$C$2:$C$4746,C22,період!$D$2:$D$4746,$E$1)</f>
        <v>511.2</v>
      </c>
      <c r="F22" s="9">
        <f>(D22/E22)-1</f>
        <v>-0.15297339593114234</v>
      </c>
      <c r="H22" s="19" t="str">
        <f t="shared" si="0"/>
        <v/>
      </c>
      <c r="I22" s="20" t="str">
        <f t="shared" si="1"/>
        <v/>
      </c>
    </row>
    <row r="23" spans="1:9" x14ac:dyDescent="0.3">
      <c r="A23" t="s">
        <v>26</v>
      </c>
      <c r="B23" t="s">
        <v>38</v>
      </c>
      <c r="C23" t="s">
        <v>9</v>
      </c>
      <c r="D23">
        <f>SUMIFS(період!$E$2:$E$4746,період!$A$2:$A$4746,A23,період!$B$2:$B$4746,B23,період!$C$2:$C$4746,C23,період!$D$2:$D$4746,$D$1)</f>
        <v>348.8</v>
      </c>
      <c r="E23">
        <f>SUMIFS(період!$E$2:$E$4746,період!$A$2:$A$4746,A23,період!$B$2:$B$4746,B23,період!$C$2:$C$4746,C23,період!$D$2:$D$4746,$E$1)</f>
        <v>348.5</v>
      </c>
      <c r="F23" s="9">
        <f>(D23/E23)-1</f>
        <v>8.6083213773324729E-4</v>
      </c>
      <c r="H23" s="19" t="str">
        <f t="shared" si="0"/>
        <v>Черкаська</v>
      </c>
      <c r="I23" s="20">
        <f t="shared" si="1"/>
        <v>8.6083213773324729E-4</v>
      </c>
    </row>
    <row r="24" spans="1:9" x14ac:dyDescent="0.3">
      <c r="A24" t="s">
        <v>25</v>
      </c>
      <c r="B24" t="s">
        <v>38</v>
      </c>
      <c r="C24" t="s">
        <v>9</v>
      </c>
      <c r="D24">
        <f>SUMIFS(період!$E$2:$E$4746,період!$A$2:$A$4746,A24,період!$B$2:$B$4746,B24,період!$C$2:$C$4746,C24,період!$D$2:$D$4746,$D$1)</f>
        <v>78.7</v>
      </c>
      <c r="E24">
        <f>SUMIFS(період!$E$2:$E$4746,період!$A$2:$A$4746,A24,період!$B$2:$B$4746,B24,період!$C$2:$C$4746,C24,період!$D$2:$D$4746,$E$1)</f>
        <v>116.3</v>
      </c>
      <c r="F24" s="9">
        <f>(D24/E24)-1</f>
        <v>-0.32330180567497846</v>
      </c>
      <c r="H24" s="19" t="str">
        <f t="shared" si="0"/>
        <v/>
      </c>
      <c r="I24" s="20" t="str">
        <f t="shared" si="1"/>
        <v/>
      </c>
    </row>
    <row r="25" spans="1:9" x14ac:dyDescent="0.3">
      <c r="A25" t="s">
        <v>30</v>
      </c>
      <c r="B25" t="s">
        <v>38</v>
      </c>
      <c r="C25" t="s">
        <v>9</v>
      </c>
      <c r="D25">
        <f>SUMIFS(період!$E$2:$E$4746,період!$A$2:$A$4746,A25,період!$B$2:$B$4746,B25,період!$C$2:$C$4746,C25,період!$D$2:$D$4746,$D$1)</f>
        <v>327.9</v>
      </c>
      <c r="E25">
        <f>SUMIFS(період!$E$2:$E$4746,період!$A$2:$A$4746,A25,період!$B$2:$B$4746,B25,період!$C$2:$C$4746,C25,період!$D$2:$D$4746,$E$1)</f>
        <v>313.10000000000002</v>
      </c>
      <c r="F25" s="9">
        <f>(D25/E25)-1</f>
        <v>4.7269243053337462E-2</v>
      </c>
      <c r="H25" s="19" t="str">
        <f t="shared" si="0"/>
        <v>Чернігівська</v>
      </c>
      <c r="I25" s="20">
        <f t="shared" si="1"/>
        <v>4.7269243053337462E-2</v>
      </c>
    </row>
  </sheetData>
  <conditionalFormatting sqref="F2:F2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2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ABA44-640C-48A6-A72D-5885709BDE14}">
  <dimension ref="A1:R27"/>
  <sheetViews>
    <sheetView topLeftCell="A2" workbookViewId="0">
      <selection activeCell="F28" sqref="F27:F28"/>
    </sheetView>
  </sheetViews>
  <sheetFormatPr defaultRowHeight="14.4" x14ac:dyDescent="0.3"/>
  <cols>
    <col min="3" max="3" width="13.5546875" customWidth="1"/>
    <col min="4" max="4" width="13.6640625" customWidth="1"/>
    <col min="5" max="5" width="14.109375" customWidth="1"/>
    <col min="6" max="6" width="10.109375" bestFit="1" customWidth="1"/>
    <col min="16" max="16" width="8.88671875" customWidth="1"/>
  </cols>
  <sheetData>
    <row r="1" spans="1:18" x14ac:dyDescent="0.3">
      <c r="A1" s="2" t="s">
        <v>0</v>
      </c>
      <c r="B1" s="2" t="s">
        <v>1</v>
      </c>
      <c r="C1" s="2" t="s">
        <v>2</v>
      </c>
      <c r="D1" s="3" t="str">
        <f>Лист1!B$16</f>
        <v>Січ.-вер. 2026</v>
      </c>
      <c r="E1" s="3" t="str">
        <f>Лист1!B$18</f>
        <v>Січ.-вер. 2025</v>
      </c>
      <c r="F1" s="2" t="str">
        <f>Лист1!J$1</f>
        <v>26/25</v>
      </c>
      <c r="G1" s="3"/>
      <c r="H1" s="2" t="s">
        <v>41</v>
      </c>
      <c r="J1">
        <f>COUNTIF(F2:F25,"&gt;0,001")</f>
        <v>13</v>
      </c>
      <c r="N1" t="s">
        <v>72</v>
      </c>
    </row>
    <row r="2" spans="1:18" x14ac:dyDescent="0.3">
      <c r="A2" t="s">
        <v>10</v>
      </c>
      <c r="B2" t="s">
        <v>38</v>
      </c>
      <c r="C2" t="s">
        <v>4</v>
      </c>
      <c r="D2">
        <f>SUMIFS(період!$E$2:$E$4746,період!$A$2:$A$4746,A2,період!$B$2:$B$4746,B2,період!$C$2:$C$4746,C2,період!$D$2:$D$4746,$D$1)</f>
        <v>223.1</v>
      </c>
      <c r="E2">
        <f>SUMIFS(період!$E$2:$E$4746,період!$A$2:$A$4746,A2,період!$B$2:$B$4746,B2,період!$C$2:$C$4746,C2,період!$D$2:$D$4746,$E$1)</f>
        <v>212.7</v>
      </c>
      <c r="F2" s="9">
        <f>IFERROR(D2/E2-"1","")</f>
        <v>4.889515749882456E-2</v>
      </c>
      <c r="H2" s="19" t="str">
        <f>IF(F2&gt;0.001,A2,"")</f>
        <v>Вінницька</v>
      </c>
      <c r="I2" s="20">
        <f>IF(F2&gt;0.001,F2,"")</f>
        <v>4.889515749882456E-2</v>
      </c>
      <c r="L2">
        <v>48.5</v>
      </c>
      <c r="M2">
        <v>24.6</v>
      </c>
      <c r="N2">
        <v>23.9</v>
      </c>
      <c r="O2">
        <v>21</v>
      </c>
      <c r="Q2">
        <v>44.9</v>
      </c>
      <c r="R2">
        <v>23.9</v>
      </c>
    </row>
    <row r="3" spans="1:18" x14ac:dyDescent="0.3">
      <c r="A3" t="s">
        <v>7</v>
      </c>
      <c r="B3" t="s">
        <v>38</v>
      </c>
      <c r="C3" t="s">
        <v>4</v>
      </c>
      <c r="D3">
        <f>SUMIFS(період!$E$2:$E$4746,період!$A$2:$A$4746,A3,період!$B$2:$B$4746,B3,період!$C$2:$C$4746,C3,період!$D$2:$D$4746,$D$1)</f>
        <v>94.7</v>
      </c>
      <c r="E3">
        <f>SUMIFS(період!$E$2:$E$4746,період!$A$2:$A$4746,A3,період!$B$2:$B$4746,B3,період!$C$2:$C$4746,C3,період!$D$2:$D$4746,$E$1)</f>
        <v>91.1</v>
      </c>
      <c r="F3" s="9">
        <f t="shared" ref="F3:F25" si="0">IFERROR(D3/E3-"1","")</f>
        <v>3.9517014270032957E-2</v>
      </c>
      <c r="H3" s="19" t="str">
        <f t="shared" ref="H3:H25" si="1">IF(F3&gt;0.001,A3,"")</f>
        <v>Волинська</v>
      </c>
      <c r="I3" s="20">
        <f t="shared" ref="I3:I25" si="2">IF(F3&gt;0.001,F3,"")</f>
        <v>3.9517014270032957E-2</v>
      </c>
      <c r="K3" s="9"/>
      <c r="L3">
        <v>20.3</v>
      </c>
      <c r="M3">
        <v>10.6</v>
      </c>
      <c r="N3">
        <v>9.7000000000000011</v>
      </c>
      <c r="O3">
        <v>9</v>
      </c>
      <c r="Q3">
        <v>18.7</v>
      </c>
      <c r="R3">
        <v>9.6999999999999993</v>
      </c>
    </row>
    <row r="4" spans="1:18" x14ac:dyDescent="0.3">
      <c r="A4" t="s">
        <v>5</v>
      </c>
      <c r="B4" t="s">
        <v>38</v>
      </c>
      <c r="C4" t="s">
        <v>4</v>
      </c>
      <c r="D4">
        <f>SUMIFS(період!$E$2:$E$4746,період!$A$2:$A$4746,A4,період!$B$2:$B$4746,B4,період!$C$2:$C$4746,C4,період!$D$2:$D$4746,$D$1)</f>
        <v>40.700000000000003</v>
      </c>
      <c r="E4">
        <f>SUMIFS(період!$E$2:$E$4746,період!$A$2:$A$4746,A4,період!$B$2:$B$4746,B4,період!$C$2:$C$4746,C4,період!$D$2:$D$4746,$E$1)</f>
        <v>47.2</v>
      </c>
      <c r="F4" s="9">
        <f t="shared" si="0"/>
        <v>-0.13771186440677963</v>
      </c>
      <c r="H4" s="19" t="str">
        <f t="shared" si="1"/>
        <v/>
      </c>
      <c r="I4" s="20" t="str">
        <f t="shared" si="2"/>
        <v/>
      </c>
      <c r="K4" s="9"/>
      <c r="L4">
        <v>9</v>
      </c>
      <c r="M4">
        <v>4.8</v>
      </c>
      <c r="N4">
        <v>4.2</v>
      </c>
      <c r="O4">
        <v>4.9000000000000004</v>
      </c>
      <c r="Q4">
        <v>10.3</v>
      </c>
      <c r="R4">
        <v>5.4</v>
      </c>
    </row>
    <row r="5" spans="1:18" x14ac:dyDescent="0.3">
      <c r="A5" t="s">
        <v>3</v>
      </c>
      <c r="B5" t="s">
        <v>38</v>
      </c>
      <c r="C5" t="s">
        <v>4</v>
      </c>
      <c r="D5">
        <f>SUMIFS(період!$E$2:$E$4746,період!$A$2:$A$4746,A5,період!$B$2:$B$4746,B5,період!$C$2:$C$4746,C5,період!$D$2:$D$4746,$D$1)</f>
        <v>0</v>
      </c>
      <c r="E5">
        <f>SUMIFS(період!$E$2:$E$4746,період!$A$2:$A$4746,A5,період!$B$2:$B$4746,B5,період!$C$2:$C$4746,C5,період!$D$2:$D$4746,$E$1)</f>
        <v>0</v>
      </c>
      <c r="F5" s="9" t="str">
        <f t="shared" si="0"/>
        <v/>
      </c>
      <c r="H5" s="19" t="str">
        <f t="shared" si="1"/>
        <v>Донецька</v>
      </c>
      <c r="I5" s="20" t="str">
        <f t="shared" si="2"/>
        <v/>
      </c>
      <c r="K5" s="9"/>
      <c r="L5">
        <v>0</v>
      </c>
      <c r="M5">
        <v>0</v>
      </c>
      <c r="N5">
        <v>0</v>
      </c>
      <c r="O5">
        <v>0</v>
      </c>
      <c r="Q5">
        <v>0</v>
      </c>
      <c r="R5">
        <v>0</v>
      </c>
    </row>
    <row r="6" spans="1:18" x14ac:dyDescent="0.3">
      <c r="A6" t="s">
        <v>8</v>
      </c>
      <c r="B6" t="s">
        <v>38</v>
      </c>
      <c r="C6" t="s">
        <v>4</v>
      </c>
      <c r="D6">
        <f>SUMIFS(період!$E$2:$E$4746,період!$A$2:$A$4746,A6,період!$B$2:$B$4746,B6,період!$C$2:$C$4746,C6,період!$D$2:$D$4746,$D$1)</f>
        <v>129.19999999999999</v>
      </c>
      <c r="E6">
        <f>SUMIFS(період!$E$2:$E$4746,період!$A$2:$A$4746,A6,період!$B$2:$B$4746,B6,період!$C$2:$C$4746,C6,період!$D$2:$D$4746,$E$1)</f>
        <v>112.3</v>
      </c>
      <c r="F6" s="9">
        <f t="shared" si="0"/>
        <v>0.15048975957257338</v>
      </c>
      <c r="H6" s="19" t="str">
        <f t="shared" si="1"/>
        <v>Житомирська</v>
      </c>
      <c r="I6" s="20">
        <f t="shared" si="2"/>
        <v>0.15048975957257338</v>
      </c>
      <c r="K6" s="9"/>
      <c r="L6">
        <v>24.8</v>
      </c>
      <c r="M6">
        <v>12.9</v>
      </c>
      <c r="N6">
        <v>11.9</v>
      </c>
      <c r="O6">
        <v>11.100000000000001</v>
      </c>
      <c r="Q6">
        <v>23.1</v>
      </c>
      <c r="R6">
        <v>12</v>
      </c>
    </row>
    <row r="7" spans="1:18" x14ac:dyDescent="0.3">
      <c r="A7" t="s">
        <v>13</v>
      </c>
      <c r="B7" t="s">
        <v>38</v>
      </c>
      <c r="C7" t="s">
        <v>4</v>
      </c>
      <c r="D7">
        <f>SUMIFS(період!$E$2:$E$4746,період!$A$2:$A$4746,A7,період!$B$2:$B$4746,B7,період!$C$2:$C$4746,C7,період!$D$2:$D$4746,$D$1)</f>
        <v>0.9</v>
      </c>
      <c r="E7">
        <f>SUMIFS(період!$E$2:$E$4746,період!$A$2:$A$4746,A7,період!$B$2:$B$4746,B7,період!$C$2:$C$4746,C7,період!$D$2:$D$4746,$E$1)</f>
        <v>1</v>
      </c>
      <c r="F7" s="9">
        <f t="shared" si="0"/>
        <v>-9.9999999999999978E-2</v>
      </c>
      <c r="H7" s="19" t="str">
        <f t="shared" si="1"/>
        <v/>
      </c>
      <c r="I7" s="20" t="str">
        <f t="shared" si="2"/>
        <v/>
      </c>
      <c r="K7" s="9"/>
      <c r="L7">
        <v>0.1</v>
      </c>
      <c r="M7">
        <v>0.1</v>
      </c>
      <c r="N7">
        <v>0</v>
      </c>
      <c r="O7">
        <v>0</v>
      </c>
      <c r="Q7">
        <v>0.1</v>
      </c>
      <c r="R7">
        <v>0.1</v>
      </c>
    </row>
    <row r="8" spans="1:18" x14ac:dyDescent="0.3">
      <c r="A8" t="s">
        <v>14</v>
      </c>
      <c r="B8" t="s">
        <v>38</v>
      </c>
      <c r="C8" t="s">
        <v>4</v>
      </c>
      <c r="D8">
        <f>SUMIFS(період!$E$2:$E$4746,період!$A$2:$A$4746,A8,період!$B$2:$B$4746,B8,період!$C$2:$C$4746,C8,період!$D$2:$D$4746,$D$1)</f>
        <v>1.7</v>
      </c>
      <c r="E8">
        <f>SUMIFS(період!$E$2:$E$4746,період!$A$2:$A$4746,A8,період!$B$2:$B$4746,B8,період!$C$2:$C$4746,C8,період!$D$2:$D$4746,$E$1)</f>
        <v>2.9</v>
      </c>
      <c r="F8" s="9">
        <f t="shared" si="0"/>
        <v>-0.41379310344827591</v>
      </c>
      <c r="H8" s="19" t="str">
        <f t="shared" si="1"/>
        <v/>
      </c>
      <c r="I8" s="20" t="str">
        <f t="shared" si="2"/>
        <v/>
      </c>
      <c r="K8" s="9"/>
      <c r="L8">
        <v>0.4</v>
      </c>
      <c r="M8">
        <v>0.2</v>
      </c>
      <c r="N8">
        <v>0.2</v>
      </c>
      <c r="O8">
        <v>0.3</v>
      </c>
      <c r="Q8">
        <v>0.6</v>
      </c>
      <c r="R8">
        <v>0.3</v>
      </c>
    </row>
    <row r="9" spans="1:18" x14ac:dyDescent="0.3">
      <c r="A9" t="s">
        <v>15</v>
      </c>
      <c r="B9" t="s">
        <v>38</v>
      </c>
      <c r="C9" t="s">
        <v>4</v>
      </c>
      <c r="D9">
        <f>SUMIFS(період!$E$2:$E$4746,період!$A$2:$A$4746,A9,період!$B$2:$B$4746,B9,період!$C$2:$C$4746,C9,період!$D$2:$D$4746,$D$1)</f>
        <v>14.6</v>
      </c>
      <c r="E9">
        <f>SUMIFS(період!$E$2:$E$4746,період!$A$2:$A$4746,A9,період!$B$2:$B$4746,B9,період!$C$2:$C$4746,C9,період!$D$2:$D$4746,$E$1)</f>
        <v>12.6</v>
      </c>
      <c r="F9" s="9">
        <f t="shared" si="0"/>
        <v>0.15873015873015883</v>
      </c>
      <c r="H9" s="19" t="str">
        <f t="shared" si="1"/>
        <v>Івано-Франківська</v>
      </c>
      <c r="I9" s="20">
        <f t="shared" si="2"/>
        <v>0.15873015873015883</v>
      </c>
      <c r="K9" s="9"/>
      <c r="L9">
        <v>3.1</v>
      </c>
      <c r="M9">
        <v>1.6</v>
      </c>
      <c r="N9">
        <v>1.5</v>
      </c>
      <c r="O9">
        <v>1.3000000000000003</v>
      </c>
      <c r="Q9">
        <v>2.7</v>
      </c>
      <c r="R9">
        <v>1.4</v>
      </c>
    </row>
    <row r="10" spans="1:18" x14ac:dyDescent="0.3">
      <c r="A10" t="s">
        <v>12</v>
      </c>
      <c r="B10" t="s">
        <v>38</v>
      </c>
      <c r="C10" t="s">
        <v>4</v>
      </c>
      <c r="D10">
        <f>SUMIFS(період!$E$2:$E$4746,період!$A$2:$A$4746,A10,період!$B$2:$B$4746,B10,період!$C$2:$C$4746,C10,період!$D$2:$D$4746,$D$1)</f>
        <v>215</v>
      </c>
      <c r="E10">
        <f>SUMIFS(період!$E$2:$E$4746,період!$A$2:$A$4746,A10,період!$B$2:$B$4746,B10,період!$C$2:$C$4746,C10,період!$D$2:$D$4746,$E$1)</f>
        <v>209.5</v>
      </c>
      <c r="F10" s="9">
        <f t="shared" si="0"/>
        <v>2.6252983293556076E-2</v>
      </c>
      <c r="H10" s="19" t="str">
        <f t="shared" si="1"/>
        <v>Київська</v>
      </c>
      <c r="I10" s="28">
        <f t="shared" si="2"/>
        <v>2.6252983293556076E-2</v>
      </c>
      <c r="K10" s="9"/>
      <c r="L10">
        <v>44.8</v>
      </c>
      <c r="M10">
        <v>22.8</v>
      </c>
      <c r="N10">
        <v>21.999999999999996</v>
      </c>
      <c r="O10">
        <v>21.3</v>
      </c>
      <c r="Q10">
        <v>43.1</v>
      </c>
      <c r="R10">
        <v>21.8</v>
      </c>
    </row>
    <row r="11" spans="1:18" x14ac:dyDescent="0.3">
      <c r="A11" t="s">
        <v>16</v>
      </c>
      <c r="B11" t="s">
        <v>38</v>
      </c>
      <c r="C11" t="s">
        <v>4</v>
      </c>
      <c r="D11">
        <f>SUMIFS(період!$E$2:$E$4746,період!$A$2:$A$4746,A11,період!$B$2:$B$4746,B11,період!$C$2:$C$4746,C11,період!$D$2:$D$4746,$D$1)</f>
        <v>60.6</v>
      </c>
      <c r="E11">
        <f>SUMIFS(період!$E$2:$E$4746,період!$A$2:$A$4746,A11,період!$B$2:$B$4746,B11,період!$C$2:$C$4746,C11,період!$D$2:$D$4746,$E$1)</f>
        <v>59.5</v>
      </c>
      <c r="F11" s="9">
        <f t="shared" si="0"/>
        <v>1.8487394957983128E-2</v>
      </c>
      <c r="H11" s="19" t="str">
        <f t="shared" si="1"/>
        <v>Кіровоградська</v>
      </c>
      <c r="I11" s="20">
        <f t="shared" si="2"/>
        <v>1.8487394957983128E-2</v>
      </c>
      <c r="K11" s="9"/>
      <c r="L11">
        <v>12.1</v>
      </c>
      <c r="M11">
        <v>6.4</v>
      </c>
      <c r="N11">
        <v>5.6999999999999993</v>
      </c>
      <c r="O11">
        <v>6</v>
      </c>
      <c r="Q11">
        <v>12.6</v>
      </c>
      <c r="R11">
        <v>6.6</v>
      </c>
    </row>
    <row r="12" spans="1:18" x14ac:dyDescent="0.3">
      <c r="A12" t="s">
        <v>17</v>
      </c>
      <c r="B12" t="s">
        <v>38</v>
      </c>
      <c r="C12" t="s">
        <v>4</v>
      </c>
      <c r="D12">
        <f>SUMIFS(період!$E$2:$E$4746,період!$A$2:$A$4746,A12,період!$B$2:$B$4746,B12,період!$C$2:$C$4746,C12,період!$D$2:$D$4746,$D$1)</f>
        <v>0</v>
      </c>
      <c r="E12">
        <f>SUMIFS(період!$E$2:$E$4746,період!$A$2:$A$4746,A12,період!$B$2:$B$4746,B12,період!$C$2:$C$4746,C12,період!$D$2:$D$4746,$E$1)</f>
        <v>0</v>
      </c>
      <c r="F12" s="9" t="str">
        <f t="shared" si="0"/>
        <v/>
      </c>
      <c r="H12" s="19" t="str">
        <f t="shared" si="1"/>
        <v>Луганська</v>
      </c>
      <c r="I12" s="20" t="str">
        <f t="shared" si="2"/>
        <v/>
      </c>
      <c r="K12" s="9"/>
      <c r="L12">
        <v>0</v>
      </c>
      <c r="M12">
        <v>0</v>
      </c>
      <c r="N12">
        <v>0</v>
      </c>
      <c r="O12">
        <v>0</v>
      </c>
      <c r="Q12">
        <v>0</v>
      </c>
      <c r="R12">
        <v>0</v>
      </c>
    </row>
    <row r="13" spans="1:18" x14ac:dyDescent="0.3">
      <c r="A13" t="s">
        <v>21</v>
      </c>
      <c r="B13" t="s">
        <v>38</v>
      </c>
      <c r="C13" t="s">
        <v>4</v>
      </c>
      <c r="D13">
        <f>SUMIFS(період!$E$2:$E$4746,період!$A$2:$A$4746,A13,період!$B$2:$B$4746,B13,період!$C$2:$C$4746,C13,період!$D$2:$D$4746,$D$1)</f>
        <v>29.3</v>
      </c>
      <c r="E13">
        <f>SUMIFS(період!$E$2:$E$4746,період!$A$2:$A$4746,A13,період!$B$2:$B$4746,B13,період!$C$2:$C$4746,C13,період!$D$2:$D$4746,$E$1)</f>
        <v>25.5</v>
      </c>
      <c r="F13" s="9">
        <f t="shared" si="0"/>
        <v>0.14901960784313739</v>
      </c>
      <c r="H13" s="19" t="str">
        <f t="shared" si="1"/>
        <v>Львівська</v>
      </c>
      <c r="I13" s="20">
        <f t="shared" si="2"/>
        <v>0.14901960784313739</v>
      </c>
      <c r="K13" s="9"/>
      <c r="L13">
        <v>5.9</v>
      </c>
      <c r="M13">
        <v>3.1</v>
      </c>
      <c r="N13">
        <v>2.8000000000000003</v>
      </c>
      <c r="O13">
        <v>2.3999999999999995</v>
      </c>
      <c r="Q13">
        <v>5.0999999999999996</v>
      </c>
      <c r="R13">
        <v>2.7</v>
      </c>
    </row>
    <row r="14" spans="1:18" x14ac:dyDescent="0.3">
      <c r="A14" t="s">
        <v>19</v>
      </c>
      <c r="B14" t="s">
        <v>38</v>
      </c>
      <c r="C14" t="s">
        <v>4</v>
      </c>
      <c r="D14">
        <f>SUMIFS(період!$E$2:$E$4746,період!$A$2:$A$4746,A14,період!$B$2:$B$4746,B14,період!$C$2:$C$4746,C14,період!$D$2:$D$4746,$D$1)</f>
        <v>57.6</v>
      </c>
      <c r="E14">
        <f>SUMIFS(період!$E$2:$E$4746,період!$A$2:$A$4746,A14,період!$B$2:$B$4746,B14,період!$C$2:$C$4746,C14,період!$D$2:$D$4746,$E$1)</f>
        <v>55.3</v>
      </c>
      <c r="F14" s="9">
        <f t="shared" si="0"/>
        <v>4.1591320072332794E-2</v>
      </c>
      <c r="H14" s="19" t="str">
        <f t="shared" si="1"/>
        <v>Миколаївська</v>
      </c>
      <c r="I14" s="20">
        <f t="shared" si="2"/>
        <v>4.1591320072332794E-2</v>
      </c>
      <c r="K14" s="9"/>
      <c r="L14">
        <v>12.4</v>
      </c>
      <c r="M14">
        <v>6.4</v>
      </c>
      <c r="N14">
        <v>6</v>
      </c>
      <c r="O14">
        <v>5.6000000000000005</v>
      </c>
      <c r="Q14">
        <v>11.8</v>
      </c>
      <c r="R14">
        <v>6.2</v>
      </c>
    </row>
    <row r="15" spans="1:18" x14ac:dyDescent="0.3">
      <c r="A15" t="s">
        <v>20</v>
      </c>
      <c r="B15" t="s">
        <v>38</v>
      </c>
      <c r="C15" t="s">
        <v>4</v>
      </c>
      <c r="D15">
        <f>SUMIFS(період!$E$2:$E$4746,період!$A$2:$A$4746,A15,період!$B$2:$B$4746,B15,період!$C$2:$C$4746,C15,період!$D$2:$D$4746,$D$1)</f>
        <v>15.6</v>
      </c>
      <c r="E15">
        <f>SUMIFS(період!$E$2:$E$4746,період!$A$2:$A$4746,A15,період!$B$2:$B$4746,B15,період!$C$2:$C$4746,C15,період!$D$2:$D$4746,$E$1)</f>
        <v>17.5</v>
      </c>
      <c r="F15" s="9">
        <f t="shared" si="0"/>
        <v>-0.10857142857142854</v>
      </c>
      <c r="H15" s="19" t="str">
        <f t="shared" si="1"/>
        <v/>
      </c>
      <c r="I15" s="20" t="str">
        <f t="shared" si="2"/>
        <v/>
      </c>
      <c r="K15" s="9"/>
      <c r="L15">
        <v>3.2</v>
      </c>
      <c r="M15">
        <v>1.6</v>
      </c>
      <c r="N15">
        <v>1.6</v>
      </c>
      <c r="O15">
        <v>1.7</v>
      </c>
      <c r="Q15">
        <v>3.5</v>
      </c>
      <c r="R15">
        <v>1.8</v>
      </c>
    </row>
    <row r="16" spans="1:18" x14ac:dyDescent="0.3">
      <c r="A16" t="s">
        <v>18</v>
      </c>
      <c r="B16" t="s">
        <v>38</v>
      </c>
      <c r="C16" t="s">
        <v>4</v>
      </c>
      <c r="D16">
        <f>SUMIFS(період!$E$2:$E$4746,період!$A$2:$A$4746,A16,період!$B$2:$B$4746,B16,період!$C$2:$C$4746,C16,період!$D$2:$D$4746,$D$1)</f>
        <v>357.3</v>
      </c>
      <c r="E16">
        <f>SUMIFS(період!$E$2:$E$4746,період!$A$2:$A$4746,A16,період!$B$2:$B$4746,B16,період!$C$2:$C$4746,C16,період!$D$2:$D$4746,$E$1)</f>
        <v>357.9</v>
      </c>
      <c r="F16" s="9">
        <f t="shared" si="0"/>
        <v>-1.6764459346184646E-3</v>
      </c>
      <c r="H16" s="19" t="str">
        <f t="shared" si="1"/>
        <v/>
      </c>
      <c r="I16" s="20" t="str">
        <f t="shared" si="2"/>
        <v/>
      </c>
      <c r="K16" s="9"/>
      <c r="L16">
        <v>76.400000000000006</v>
      </c>
      <c r="M16">
        <v>39.9</v>
      </c>
      <c r="N16">
        <v>36.500000000000007</v>
      </c>
      <c r="O16">
        <v>37.300000000000004</v>
      </c>
      <c r="Q16">
        <v>76.900000000000006</v>
      </c>
      <c r="R16">
        <v>39.6</v>
      </c>
    </row>
    <row r="17" spans="1:18" x14ac:dyDescent="0.3">
      <c r="A17" t="s">
        <v>23</v>
      </c>
      <c r="B17" t="s">
        <v>38</v>
      </c>
      <c r="C17" t="s">
        <v>4</v>
      </c>
      <c r="D17">
        <f>SUMIFS(період!$E$2:$E$4746,період!$A$2:$A$4746,A17,період!$B$2:$B$4746,B17,період!$C$2:$C$4746,C17,період!$D$2:$D$4746,$D$1)</f>
        <v>62.8</v>
      </c>
      <c r="E17">
        <f>SUMIFS(період!$E$2:$E$4746,період!$A$2:$A$4746,A17,період!$B$2:$B$4746,B17,період!$C$2:$C$4746,C17,період!$D$2:$D$4746,$E$1)</f>
        <v>45</v>
      </c>
      <c r="F17" s="9">
        <f t="shared" si="0"/>
        <v>0.39555555555555544</v>
      </c>
      <c r="H17" s="19" t="str">
        <f t="shared" si="1"/>
        <v>Рівненська</v>
      </c>
      <c r="I17" s="20">
        <f t="shared" si="2"/>
        <v>0.39555555555555544</v>
      </c>
      <c r="K17" s="16"/>
      <c r="L17">
        <v>12.1</v>
      </c>
      <c r="M17">
        <v>6.3</v>
      </c>
      <c r="N17">
        <v>5.8</v>
      </c>
      <c r="O17">
        <v>4.4000000000000004</v>
      </c>
      <c r="Q17">
        <v>9.4</v>
      </c>
      <c r="R17">
        <v>5</v>
      </c>
    </row>
    <row r="18" spans="1:18" x14ac:dyDescent="0.3">
      <c r="A18" t="s">
        <v>22</v>
      </c>
      <c r="B18" t="s">
        <v>38</v>
      </c>
      <c r="C18" t="s">
        <v>4</v>
      </c>
      <c r="D18">
        <f>SUMIFS(період!$E$2:$E$4746,період!$A$2:$A$4746,A18,період!$B$2:$B$4746,B18,період!$C$2:$C$4746,C18,період!$D$2:$D$4746,$D$1)</f>
        <v>100.2</v>
      </c>
      <c r="E18">
        <f>SUMIFS(період!$E$2:$E$4746,період!$A$2:$A$4746,A18,період!$B$2:$B$4746,B18,період!$C$2:$C$4746,C18,період!$D$2:$D$4746,$E$1)</f>
        <v>113</v>
      </c>
      <c r="F18" s="9">
        <f t="shared" si="0"/>
        <v>-0.11327433628318584</v>
      </c>
      <c r="H18" s="19" t="str">
        <f t="shared" si="1"/>
        <v/>
      </c>
      <c r="I18" s="20" t="str">
        <f t="shared" si="2"/>
        <v/>
      </c>
      <c r="K18" s="9"/>
      <c r="L18">
        <v>21.8</v>
      </c>
      <c r="M18">
        <v>11.4</v>
      </c>
      <c r="N18">
        <v>10.4</v>
      </c>
      <c r="O18">
        <v>11.6</v>
      </c>
      <c r="Q18">
        <v>24</v>
      </c>
      <c r="R18">
        <v>12.4</v>
      </c>
    </row>
    <row r="19" spans="1:18" x14ac:dyDescent="0.3">
      <c r="A19" t="s">
        <v>28</v>
      </c>
      <c r="B19" t="s">
        <v>38</v>
      </c>
      <c r="C19" t="s">
        <v>4</v>
      </c>
      <c r="D19">
        <f>SUMIFS(період!$E$2:$E$4746,період!$A$2:$A$4746,A19,період!$B$2:$B$4746,B19,період!$C$2:$C$4746,C19,період!$D$2:$D$4746,$D$1)</f>
        <v>180.1</v>
      </c>
      <c r="E19">
        <f>SUMIFS(період!$E$2:$E$4746,період!$A$2:$A$4746,A19,період!$B$2:$B$4746,B19,період!$C$2:$C$4746,C19,період!$D$2:$D$4746,$E$1)</f>
        <v>156.6</v>
      </c>
      <c r="F19" s="9">
        <f t="shared" si="0"/>
        <v>0.15006385696040869</v>
      </c>
      <c r="H19" s="19" t="str">
        <f t="shared" si="1"/>
        <v>Тернопільська</v>
      </c>
      <c r="I19" s="20">
        <f t="shared" si="2"/>
        <v>0.15006385696040869</v>
      </c>
      <c r="K19" s="9"/>
      <c r="L19">
        <v>37</v>
      </c>
      <c r="M19">
        <v>19.2</v>
      </c>
      <c r="N19">
        <v>17.8</v>
      </c>
      <c r="O19">
        <v>15.2</v>
      </c>
      <c r="Q19">
        <v>32.4</v>
      </c>
      <c r="R19">
        <v>17.2</v>
      </c>
    </row>
    <row r="20" spans="1:18" x14ac:dyDescent="0.3">
      <c r="A20" t="s">
        <v>29</v>
      </c>
      <c r="B20" t="s">
        <v>38</v>
      </c>
      <c r="C20" t="s">
        <v>4</v>
      </c>
      <c r="D20">
        <f>SUMIFS(період!$E$2:$E$4746,період!$A$2:$A$4746,A20,період!$B$2:$B$4746,B20,період!$C$2:$C$4746,C20,період!$D$2:$D$4746,$D$1)</f>
        <v>118.6</v>
      </c>
      <c r="E20">
        <f>SUMIFS(період!$E$2:$E$4746,період!$A$2:$A$4746,A20,період!$B$2:$B$4746,B20,період!$C$2:$C$4746,C20,період!$D$2:$D$4746,$E$1)</f>
        <v>120.4</v>
      </c>
      <c r="F20" s="9">
        <f t="shared" si="0"/>
        <v>-1.4950166112956853E-2</v>
      </c>
      <c r="H20" s="19" t="str">
        <f t="shared" si="1"/>
        <v/>
      </c>
      <c r="I20" s="20" t="str">
        <f t="shared" si="2"/>
        <v/>
      </c>
      <c r="K20" s="9"/>
      <c r="L20">
        <v>25.2</v>
      </c>
      <c r="M20">
        <v>13.2</v>
      </c>
      <c r="N20">
        <v>12</v>
      </c>
      <c r="O20">
        <v>21.7</v>
      </c>
      <c r="Q20">
        <v>21.7</v>
      </c>
      <c r="R20">
        <v>0</v>
      </c>
    </row>
    <row r="21" spans="1:18" x14ac:dyDescent="0.3">
      <c r="A21" t="s">
        <v>24</v>
      </c>
      <c r="B21" t="s">
        <v>38</v>
      </c>
      <c r="C21" t="s">
        <v>4</v>
      </c>
      <c r="D21">
        <f>SUMIFS(період!$E$2:$E$4746,період!$A$2:$A$4746,A21,період!$B$2:$B$4746,B21,період!$C$2:$C$4746,C21,період!$D$2:$D$4746,$D$1)</f>
        <v>0</v>
      </c>
      <c r="E21">
        <f>SUMIFS(період!$E$2:$E$4746,період!$A$2:$A$4746,A21,період!$B$2:$B$4746,B21,період!$C$2:$C$4746,C21,період!$D$2:$D$4746,$E$1)</f>
        <v>0</v>
      </c>
      <c r="F21" s="9" t="str">
        <f t="shared" si="0"/>
        <v/>
      </c>
      <c r="H21" s="19" t="str">
        <f t="shared" si="1"/>
        <v>Херсонська</v>
      </c>
      <c r="I21" s="20" t="str">
        <f t="shared" si="2"/>
        <v/>
      </c>
      <c r="K21" s="9"/>
      <c r="L21">
        <v>0</v>
      </c>
      <c r="M21">
        <v>0</v>
      </c>
      <c r="N21">
        <v>0</v>
      </c>
      <c r="O21">
        <v>0</v>
      </c>
      <c r="Q21">
        <v>0</v>
      </c>
      <c r="R21">
        <v>0</v>
      </c>
    </row>
    <row r="22" spans="1:18" x14ac:dyDescent="0.3">
      <c r="A22" t="s">
        <v>27</v>
      </c>
      <c r="B22" t="s">
        <v>38</v>
      </c>
      <c r="C22" t="s">
        <v>4</v>
      </c>
      <c r="D22">
        <f>SUMIFS(період!$E$2:$E$4746,період!$A$2:$A$4746,A22,період!$B$2:$B$4746,B22,період!$C$2:$C$4746,C22,період!$D$2:$D$4746,$D$1)</f>
        <v>236.3</v>
      </c>
      <c r="E22">
        <f>SUMIFS(період!$E$2:$E$4746,період!$A$2:$A$4746,A22,період!$B$2:$B$4746,B22,період!$C$2:$C$4746,C22,період!$D$2:$D$4746,$E$1)</f>
        <v>234.7</v>
      </c>
      <c r="F22" s="9">
        <f t="shared" si="0"/>
        <v>6.8172134639967741E-3</v>
      </c>
      <c r="H22" s="19" t="str">
        <f t="shared" si="1"/>
        <v>Хмельницька</v>
      </c>
      <c r="I22" s="20">
        <f t="shared" si="2"/>
        <v>6.8172134639967741E-3</v>
      </c>
      <c r="K22" s="9"/>
      <c r="L22">
        <v>49.5</v>
      </c>
      <c r="M22">
        <v>25.7</v>
      </c>
      <c r="N22">
        <v>23.8</v>
      </c>
      <c r="O22">
        <v>23.6</v>
      </c>
      <c r="Q22">
        <v>48.1</v>
      </c>
      <c r="R22">
        <v>24.5</v>
      </c>
    </row>
    <row r="23" spans="1:18" x14ac:dyDescent="0.3">
      <c r="A23" t="s">
        <v>26</v>
      </c>
      <c r="B23" t="s">
        <v>38</v>
      </c>
      <c r="C23" t="s">
        <v>4</v>
      </c>
      <c r="D23">
        <f>SUMIFS(період!$E$2:$E$4746,період!$A$2:$A$4746,A23,період!$B$2:$B$4746,B23,період!$C$2:$C$4746,C23,період!$D$2:$D$4746,$D$1)</f>
        <v>298.7</v>
      </c>
      <c r="E23">
        <f>SUMIFS(період!$E$2:$E$4746,період!$A$2:$A$4746,A23,період!$B$2:$B$4746,B23,період!$C$2:$C$4746,C23,період!$D$2:$D$4746,$E$1)</f>
        <v>290.60000000000002</v>
      </c>
      <c r="F23" s="9">
        <f t="shared" si="0"/>
        <v>2.7873365450791443E-2</v>
      </c>
      <c r="H23" s="19" t="str">
        <f t="shared" si="1"/>
        <v>Черкаська</v>
      </c>
      <c r="I23" s="20">
        <f t="shared" si="2"/>
        <v>2.7873365450791443E-2</v>
      </c>
      <c r="K23" s="9"/>
      <c r="L23">
        <v>64.3</v>
      </c>
      <c r="M23">
        <v>33.799999999999997</v>
      </c>
      <c r="N23">
        <v>30.5</v>
      </c>
      <c r="O23">
        <v>29.299999999999997</v>
      </c>
      <c r="Q23">
        <v>62</v>
      </c>
      <c r="R23">
        <v>32.700000000000003</v>
      </c>
    </row>
    <row r="24" spans="1:18" x14ac:dyDescent="0.3">
      <c r="A24" t="s">
        <v>25</v>
      </c>
      <c r="B24" t="s">
        <v>38</v>
      </c>
      <c r="C24" t="s">
        <v>4</v>
      </c>
      <c r="D24">
        <f>SUMIFS(період!$E$2:$E$4746,період!$A$2:$A$4746,A24,період!$B$2:$B$4746,B24,період!$C$2:$C$4746,C24,період!$D$2:$D$4746,$D$1)</f>
        <v>5</v>
      </c>
      <c r="E24">
        <f>SUMIFS(період!$E$2:$E$4746,період!$A$2:$A$4746,A24,період!$B$2:$B$4746,B24,період!$C$2:$C$4746,C24,період!$D$2:$D$4746,$E$1)</f>
        <v>6.3</v>
      </c>
      <c r="F24" s="9">
        <f t="shared" si="0"/>
        <v>-0.20634920634920628</v>
      </c>
      <c r="H24" s="19" t="str">
        <f t="shared" si="1"/>
        <v/>
      </c>
      <c r="I24" s="20" t="str">
        <f t="shared" si="2"/>
        <v/>
      </c>
      <c r="K24" s="9"/>
      <c r="L24">
        <v>1.2</v>
      </c>
      <c r="M24">
        <v>0.6</v>
      </c>
      <c r="N24">
        <v>0.6</v>
      </c>
      <c r="O24">
        <v>0.7</v>
      </c>
      <c r="Q24">
        <v>1.5</v>
      </c>
      <c r="R24">
        <v>0.8</v>
      </c>
    </row>
    <row r="25" spans="1:18" x14ac:dyDescent="0.3">
      <c r="A25" t="s">
        <v>30</v>
      </c>
      <c r="B25" t="s">
        <v>38</v>
      </c>
      <c r="C25" t="s">
        <v>4</v>
      </c>
      <c r="D25">
        <f>SUMIFS(період!$E$2:$E$4746,період!$A$2:$A$4746,A25,період!$B$2:$B$4746,B25,період!$C$2:$C$4746,C25,період!$D$2:$D$4746,$D$1)</f>
        <v>234.4</v>
      </c>
      <c r="E25">
        <f>SUMIFS(період!$E$2:$E$4746,період!$A$2:$A$4746,A25,період!$B$2:$B$4746,B25,період!$C$2:$C$4746,C25,період!$D$2:$D$4746,$E$1)</f>
        <v>211.4</v>
      </c>
      <c r="F25" s="9">
        <f t="shared" si="0"/>
        <v>0.10879848628193001</v>
      </c>
      <c r="H25" s="19" t="str">
        <f t="shared" si="1"/>
        <v>Чернігівська</v>
      </c>
      <c r="I25" s="20">
        <f t="shared" si="2"/>
        <v>0.10879848628193001</v>
      </c>
      <c r="K25" s="9"/>
      <c r="L25">
        <v>47.3</v>
      </c>
      <c r="M25">
        <v>24.6</v>
      </c>
      <c r="N25">
        <v>22.699999999999996</v>
      </c>
      <c r="O25">
        <v>21.900000000000002</v>
      </c>
      <c r="Q25">
        <v>45.7</v>
      </c>
      <c r="R25">
        <v>23.8</v>
      </c>
    </row>
    <row r="26" spans="1:18" x14ac:dyDescent="0.3">
      <c r="G26" s="9"/>
      <c r="H26" s="9"/>
      <c r="K26" s="9"/>
    </row>
    <row r="27" spans="1:18" x14ac:dyDescent="0.3">
      <c r="C27" t="s">
        <v>48</v>
      </c>
      <c r="D27" t="s">
        <v>49</v>
      </c>
      <c r="E27" t="s">
        <v>50</v>
      </c>
    </row>
  </sheetData>
  <sortState xmlns:xlrd2="http://schemas.microsoft.com/office/spreadsheetml/2017/richdata2" ref="A3:H26">
    <sortCondition ref="A3:A26"/>
  </sortState>
  <conditionalFormatting sqref="F2:F2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6:H2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2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2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62D02-820E-431F-9718-1252D027624E}">
  <dimension ref="A1:U26"/>
  <sheetViews>
    <sheetView workbookViewId="0">
      <selection activeCell="K9" sqref="K9"/>
    </sheetView>
  </sheetViews>
  <sheetFormatPr defaultRowHeight="14.4" x14ac:dyDescent="0.3"/>
  <cols>
    <col min="3" max="3" width="18" customWidth="1"/>
    <col min="4" max="4" width="13.6640625" customWidth="1"/>
    <col min="5" max="5" width="14.33203125" customWidth="1"/>
    <col min="6" max="6" width="10.109375" bestFit="1" customWidth="1"/>
    <col min="11" max="11" width="18" customWidth="1"/>
    <col min="12" max="14" width="10.109375" bestFit="1" customWidth="1"/>
  </cols>
  <sheetData>
    <row r="1" spans="1:21" x14ac:dyDescent="0.3">
      <c r="A1" s="2" t="s">
        <v>0</v>
      </c>
      <c r="B1" s="2" t="s">
        <v>1</v>
      </c>
      <c r="C1" s="2" t="s">
        <v>2</v>
      </c>
      <c r="D1" s="3" t="str">
        <f>Лист1!B$16</f>
        <v>Січ.-вер. 2026</v>
      </c>
      <c r="E1" s="3" t="str">
        <f>Лист1!B$18</f>
        <v>Січ.-вер. 2025</v>
      </c>
      <c r="F1" s="2" t="str">
        <f>Лист1!J$1</f>
        <v>26/25</v>
      </c>
      <c r="G1" s="3"/>
      <c r="H1" s="2" t="s">
        <v>41</v>
      </c>
      <c r="J1">
        <f>COUNTIF(F2:F25,"&gt;0")</f>
        <v>0</v>
      </c>
    </row>
    <row r="2" spans="1:21" x14ac:dyDescent="0.3">
      <c r="A2" t="s">
        <v>10</v>
      </c>
      <c r="B2" t="s">
        <v>38</v>
      </c>
      <c r="C2" t="s">
        <v>6</v>
      </c>
      <c r="D2">
        <f>SUMIFS(період!$E$2:$E$4746,період!$A$2:$A$4746,A2,період!$B$2:$B$4746,B2,період!$C$2:$C$4746,C2,період!$D$2:$D$4746,$D$1)</f>
        <v>191.3</v>
      </c>
      <c r="E2">
        <f>SUMIFS(період!$E$2:$E$4746,період!$A$2:$A$4746,A2,період!$B$2:$B$4746,B2,період!$C$2:$C$4746,C2,період!$D$2:$D$4746,$E$1)</f>
        <v>218.9</v>
      </c>
      <c r="F2" s="9">
        <f t="shared" ref="F2:F11" si="0">(D2/E2)-1</f>
        <v>-0.12608497030607579</v>
      </c>
      <c r="H2" s="19" t="str">
        <f t="shared" ref="H2:H25" si="1">IF(F2&gt;0,A2,"")</f>
        <v/>
      </c>
      <c r="I2" s="20" t="str">
        <f t="shared" ref="I2:I25" si="2">IF(F2&gt;0,F2,"")</f>
        <v/>
      </c>
      <c r="K2" s="2"/>
      <c r="L2" s="3"/>
      <c r="M2" s="3"/>
      <c r="N2" s="3"/>
      <c r="O2" s="2"/>
      <c r="P2" s="2"/>
      <c r="R2" s="2"/>
      <c r="S2" s="2"/>
    </row>
    <row r="3" spans="1:21" x14ac:dyDescent="0.3">
      <c r="A3" t="s">
        <v>7</v>
      </c>
      <c r="B3" t="s">
        <v>38</v>
      </c>
      <c r="C3" t="s">
        <v>6</v>
      </c>
      <c r="D3">
        <f>SUMIFS(період!$E$2:$E$4746,період!$A$2:$A$4746,A3,період!$B$2:$B$4746,B3,період!$C$2:$C$4746,C3,період!$D$2:$D$4746,$D$1)</f>
        <v>94.4</v>
      </c>
      <c r="E3">
        <f>SUMIFS(період!$E$2:$E$4746,період!$A$2:$A$4746,A3,період!$B$2:$B$4746,B3,період!$C$2:$C$4746,C3,період!$D$2:$D$4746,$E$1)</f>
        <v>122.9</v>
      </c>
      <c r="F3" s="9">
        <f t="shared" si="0"/>
        <v>-0.23189585028478432</v>
      </c>
      <c r="H3" s="19" t="str">
        <f t="shared" si="1"/>
        <v/>
      </c>
      <c r="I3" s="20" t="str">
        <f t="shared" si="2"/>
        <v/>
      </c>
      <c r="M3" s="7"/>
      <c r="O3" s="9"/>
      <c r="P3" s="9"/>
    </row>
    <row r="4" spans="1:21" x14ac:dyDescent="0.3">
      <c r="A4" t="s">
        <v>5</v>
      </c>
      <c r="B4" t="s">
        <v>38</v>
      </c>
      <c r="C4" t="s">
        <v>6</v>
      </c>
      <c r="D4">
        <f>SUMIFS(період!$E$2:$E$4746,період!$A$2:$A$4746,A4,період!$B$2:$B$4746,B4,період!$C$2:$C$4746,C4,період!$D$2:$D$4746,$D$1)</f>
        <v>85.1</v>
      </c>
      <c r="E4">
        <f>SUMIFS(період!$E$2:$E$4746,період!$A$2:$A$4746,A4,період!$B$2:$B$4746,B4,період!$C$2:$C$4746,C4,період!$D$2:$D$4746,$E$1)</f>
        <v>101.7</v>
      </c>
      <c r="F4" s="9">
        <f t="shared" si="0"/>
        <v>-0.16322517207472964</v>
      </c>
      <c r="H4" s="19" t="str">
        <f t="shared" si="1"/>
        <v/>
      </c>
      <c r="I4" s="20" t="str">
        <f t="shared" si="2"/>
        <v/>
      </c>
      <c r="O4" s="9"/>
      <c r="P4" s="9"/>
      <c r="S4" s="9"/>
      <c r="U4" s="9"/>
    </row>
    <row r="5" spans="1:21" x14ac:dyDescent="0.3">
      <c r="A5" t="s">
        <v>3</v>
      </c>
      <c r="B5" t="s">
        <v>38</v>
      </c>
      <c r="C5" t="s">
        <v>6</v>
      </c>
      <c r="D5">
        <f>SUMIFS(період!$E$2:$E$4746,період!$A$2:$A$4746,A5,період!$B$2:$B$4746,B5,період!$C$2:$C$4746,C5,період!$D$2:$D$4746,$D$1)</f>
        <v>0</v>
      </c>
      <c r="E5">
        <f>SUMIFS(період!$E$2:$E$4746,період!$A$2:$A$4746,A5,період!$B$2:$B$4746,B5,період!$C$2:$C$4746,C5,період!$D$2:$D$4746,$E$1)</f>
        <v>0</v>
      </c>
      <c r="F5" s="9">
        <f>IFERROR((D5/E5)-1,0)</f>
        <v>0</v>
      </c>
      <c r="H5" s="19" t="str">
        <f t="shared" si="1"/>
        <v/>
      </c>
      <c r="I5" s="20" t="str">
        <f t="shared" si="2"/>
        <v/>
      </c>
      <c r="O5" s="9"/>
      <c r="P5" s="9"/>
      <c r="S5" s="9"/>
      <c r="U5" s="9"/>
    </row>
    <row r="6" spans="1:21" x14ac:dyDescent="0.3">
      <c r="A6" t="s">
        <v>8</v>
      </c>
      <c r="B6" t="s">
        <v>38</v>
      </c>
      <c r="C6" t="s">
        <v>6</v>
      </c>
      <c r="D6">
        <f>SUMIFS(період!$E$2:$E$4746,період!$A$2:$A$4746,A6,період!$B$2:$B$4746,B6,період!$C$2:$C$4746,C6,період!$D$2:$D$4746,$D$1)</f>
        <v>119.3</v>
      </c>
      <c r="E6">
        <f>SUMIFS(період!$E$2:$E$4746,період!$A$2:$A$4746,A6,період!$B$2:$B$4746,B6,період!$C$2:$C$4746,C6,період!$D$2:$D$4746,$E$1)</f>
        <v>193.2</v>
      </c>
      <c r="F6" s="9">
        <f t="shared" si="0"/>
        <v>-0.38250517598343681</v>
      </c>
      <c r="H6" s="19" t="str">
        <f t="shared" si="1"/>
        <v/>
      </c>
      <c r="I6" s="20" t="str">
        <f t="shared" si="2"/>
        <v/>
      </c>
      <c r="O6" s="9"/>
      <c r="P6" s="9"/>
      <c r="S6" s="9"/>
      <c r="U6" s="9"/>
    </row>
    <row r="7" spans="1:21" x14ac:dyDescent="0.3">
      <c r="A7" t="s">
        <v>13</v>
      </c>
      <c r="B7" t="s">
        <v>38</v>
      </c>
      <c r="C7" t="s">
        <v>6</v>
      </c>
      <c r="D7">
        <f>SUMIFS(період!$E$2:$E$4746,період!$A$2:$A$4746,A7,період!$B$2:$B$4746,B7,період!$C$2:$C$4746,C7,період!$D$2:$D$4746,$D$1)</f>
        <v>58.3</v>
      </c>
      <c r="E7">
        <f>SUMIFS(період!$E$2:$E$4746,період!$A$2:$A$4746,A7,період!$B$2:$B$4746,B7,період!$C$2:$C$4746,C7,період!$D$2:$D$4746,$E$1)</f>
        <v>160.19999999999999</v>
      </c>
      <c r="F7" s="9">
        <f t="shared" si="0"/>
        <v>-0.63607990012484394</v>
      </c>
      <c r="H7" s="19" t="str">
        <f t="shared" si="1"/>
        <v/>
      </c>
      <c r="I7" s="20" t="str">
        <f t="shared" si="2"/>
        <v/>
      </c>
      <c r="O7" s="9"/>
      <c r="P7" s="9"/>
      <c r="S7" s="9"/>
      <c r="U7" s="9"/>
    </row>
    <row r="8" spans="1:21" x14ac:dyDescent="0.3">
      <c r="A8" t="s">
        <v>14</v>
      </c>
      <c r="B8" t="s">
        <v>38</v>
      </c>
      <c r="C8" t="s">
        <v>6</v>
      </c>
      <c r="D8">
        <f>SUMIFS(період!$E$2:$E$4746,період!$A$2:$A$4746,A8,період!$B$2:$B$4746,B8,період!$C$2:$C$4746,C8,період!$D$2:$D$4746,$D$1)</f>
        <v>6.9</v>
      </c>
      <c r="E8">
        <f>SUMIFS(період!$E$2:$E$4746,період!$A$2:$A$4746,A8,період!$B$2:$B$4746,B8,період!$C$2:$C$4746,C8,період!$D$2:$D$4746,$E$1)</f>
        <v>10.5</v>
      </c>
      <c r="F8" s="9">
        <f t="shared" si="0"/>
        <v>-0.34285714285714286</v>
      </c>
      <c r="H8" s="19" t="str">
        <f t="shared" si="1"/>
        <v/>
      </c>
      <c r="I8" s="20" t="str">
        <f t="shared" si="2"/>
        <v/>
      </c>
      <c r="O8" s="9"/>
      <c r="P8" s="9"/>
      <c r="S8" s="9"/>
      <c r="U8" s="9"/>
    </row>
    <row r="9" spans="1:21" x14ac:dyDescent="0.3">
      <c r="A9" t="s">
        <v>15</v>
      </c>
      <c r="B9" t="s">
        <v>38</v>
      </c>
      <c r="C9" t="s">
        <v>6</v>
      </c>
      <c r="D9">
        <f>SUMIFS(період!$E$2:$E$4746,період!$A$2:$A$4746,A9,період!$B$2:$B$4746,B9,період!$C$2:$C$4746,C9,період!$D$2:$D$4746,$D$1)</f>
        <v>127.9</v>
      </c>
      <c r="E9">
        <f>SUMIFS(період!$E$2:$E$4746,період!$A$2:$A$4746,A9,період!$B$2:$B$4746,B9,період!$C$2:$C$4746,C9,період!$D$2:$D$4746,$E$1)</f>
        <v>167.6</v>
      </c>
      <c r="F9" s="9">
        <f t="shared" si="0"/>
        <v>-0.23687350835322185</v>
      </c>
      <c r="H9" s="19" t="str">
        <f t="shared" si="1"/>
        <v/>
      </c>
      <c r="I9" s="20" t="str">
        <f t="shared" si="2"/>
        <v/>
      </c>
      <c r="O9" s="9"/>
      <c r="P9" s="9"/>
      <c r="S9" s="9"/>
      <c r="U9" s="9"/>
    </row>
    <row r="10" spans="1:21" x14ac:dyDescent="0.3">
      <c r="A10" t="s">
        <v>12</v>
      </c>
      <c r="B10" t="s">
        <v>38</v>
      </c>
      <c r="C10" t="s">
        <v>6</v>
      </c>
      <c r="D10">
        <f>SUMIFS(період!$E$2:$E$4746,період!$A$2:$A$4746,A10,період!$B$2:$B$4746,B10,період!$C$2:$C$4746,C10,період!$D$2:$D$4746,$D$1)</f>
        <v>40.700000000000003</v>
      </c>
      <c r="E10">
        <f>SUMIFS(період!$E$2:$E$4746,період!$A$2:$A$4746,A10,період!$B$2:$B$4746,B10,період!$C$2:$C$4746,C10,період!$D$2:$D$4746,$E$1)</f>
        <v>43.5</v>
      </c>
      <c r="F10" s="9">
        <f t="shared" si="0"/>
        <v>-6.4367816091953967E-2</v>
      </c>
      <c r="H10" s="19" t="str">
        <f t="shared" si="1"/>
        <v/>
      </c>
      <c r="I10" s="20" t="str">
        <f t="shared" si="2"/>
        <v/>
      </c>
      <c r="O10" s="9"/>
      <c r="P10" s="9"/>
      <c r="S10" s="9"/>
      <c r="U10" s="9"/>
    </row>
    <row r="11" spans="1:21" x14ac:dyDescent="0.3">
      <c r="A11" t="s">
        <v>16</v>
      </c>
      <c r="B11" t="s">
        <v>38</v>
      </c>
      <c r="C11" t="s">
        <v>6</v>
      </c>
      <c r="D11">
        <f>SUMIFS(період!$E$2:$E$4746,період!$A$2:$A$4746,A11,період!$B$2:$B$4746,B11,період!$C$2:$C$4746,C11,період!$D$2:$D$4746,$D$1)</f>
        <v>115.4</v>
      </c>
      <c r="E11">
        <f>SUMIFS(період!$E$2:$E$4746,період!$A$2:$A$4746,A11,період!$B$2:$B$4746,B11,період!$C$2:$C$4746,C11,період!$D$2:$D$4746,$E$1)</f>
        <v>133.9</v>
      </c>
      <c r="F11" s="9">
        <f t="shared" si="0"/>
        <v>-0.13816280806572068</v>
      </c>
      <c r="H11" s="19" t="str">
        <f t="shared" si="1"/>
        <v/>
      </c>
      <c r="I11" s="20" t="str">
        <f t="shared" si="2"/>
        <v/>
      </c>
      <c r="O11" s="9"/>
      <c r="P11" s="9"/>
      <c r="S11" s="9"/>
      <c r="U11" s="9"/>
    </row>
    <row r="12" spans="1:21" x14ac:dyDescent="0.3">
      <c r="A12" t="s">
        <v>17</v>
      </c>
      <c r="B12" t="s">
        <v>38</v>
      </c>
      <c r="C12" t="s">
        <v>6</v>
      </c>
      <c r="D12">
        <f>SUMIFS(період!$E$2:$E$4746,період!$A$2:$A$4746,A12,період!$B$2:$B$4746,B12,період!$C$2:$C$4746,C12,період!$D$2:$D$4746,$D$1)</f>
        <v>0</v>
      </c>
      <c r="E12">
        <f>SUMIFS(період!$E$2:$E$4746,період!$A$2:$A$4746,A12,період!$B$2:$B$4746,B12,період!$C$2:$C$4746,C12,період!$D$2:$D$4746,$E$1)</f>
        <v>0</v>
      </c>
      <c r="F12" s="9">
        <f>IFERROR((D12/E12)-1,0)</f>
        <v>0</v>
      </c>
      <c r="H12" s="19" t="str">
        <f t="shared" si="1"/>
        <v/>
      </c>
      <c r="I12" s="20" t="str">
        <f t="shared" si="2"/>
        <v/>
      </c>
      <c r="O12" s="9"/>
      <c r="P12" s="9"/>
      <c r="S12" s="9"/>
      <c r="U12" s="9"/>
    </row>
    <row r="13" spans="1:21" x14ac:dyDescent="0.3">
      <c r="A13" t="s">
        <v>21</v>
      </c>
      <c r="B13" t="s">
        <v>38</v>
      </c>
      <c r="C13" t="s">
        <v>6</v>
      </c>
      <c r="D13">
        <f>SUMIFS(період!$E$2:$E$4746,період!$A$2:$A$4746,A13,період!$B$2:$B$4746,B13,період!$C$2:$C$4746,C13,період!$D$2:$D$4746,$D$1)</f>
        <v>130.69999999999999</v>
      </c>
      <c r="E13">
        <f>SUMIFS(період!$E$2:$E$4746,період!$A$2:$A$4746,A13,період!$B$2:$B$4746,B13,період!$C$2:$C$4746,C13,період!$D$2:$D$4746,$E$1)</f>
        <v>192.3</v>
      </c>
      <c r="F13" s="9">
        <f t="shared" ref="F13:F20" si="3">(D13/E13)-1</f>
        <v>-0.3203328133125326</v>
      </c>
      <c r="H13" s="19" t="str">
        <f t="shared" si="1"/>
        <v/>
      </c>
      <c r="I13" s="20" t="str">
        <f t="shared" si="2"/>
        <v/>
      </c>
      <c r="N13" s="7"/>
      <c r="O13" s="9"/>
      <c r="P13" s="9"/>
      <c r="S13" s="9"/>
      <c r="U13" s="9"/>
    </row>
    <row r="14" spans="1:21" x14ac:dyDescent="0.3">
      <c r="A14" t="s">
        <v>19</v>
      </c>
      <c r="B14" t="s">
        <v>38</v>
      </c>
      <c r="C14" t="s">
        <v>6</v>
      </c>
      <c r="D14">
        <f>SUMIFS(період!$E$2:$E$4746,період!$A$2:$A$4746,A14,період!$B$2:$B$4746,B14,період!$C$2:$C$4746,C14,період!$D$2:$D$4746,$D$1)</f>
        <v>83.2</v>
      </c>
      <c r="E14">
        <f>SUMIFS(період!$E$2:$E$4746,період!$A$2:$A$4746,A14,період!$B$2:$B$4746,B14,період!$C$2:$C$4746,C14,період!$D$2:$D$4746,$E$1)</f>
        <v>95.6</v>
      </c>
      <c r="F14" s="9">
        <f t="shared" si="3"/>
        <v>-0.12970711297071125</v>
      </c>
      <c r="H14" s="19" t="str">
        <f t="shared" si="1"/>
        <v/>
      </c>
      <c r="I14" s="20" t="str">
        <f t="shared" si="2"/>
        <v/>
      </c>
      <c r="O14" s="9"/>
      <c r="P14" s="9"/>
      <c r="S14" s="9"/>
      <c r="U14" s="9"/>
    </row>
    <row r="15" spans="1:21" x14ac:dyDescent="0.3">
      <c r="A15" t="s">
        <v>20</v>
      </c>
      <c r="B15" t="s">
        <v>38</v>
      </c>
      <c r="C15" t="s">
        <v>6</v>
      </c>
      <c r="D15">
        <f>SUMIFS(період!$E$2:$E$4746,період!$A$2:$A$4746,A15,період!$B$2:$B$4746,B15,період!$C$2:$C$4746,C15,період!$D$2:$D$4746,$D$1)</f>
        <v>192</v>
      </c>
      <c r="E15">
        <f>SUMIFS(період!$E$2:$E$4746,період!$A$2:$A$4746,A15,період!$B$2:$B$4746,B15,період!$C$2:$C$4746,C15,період!$D$2:$D$4746,$E$1)</f>
        <v>199.2</v>
      </c>
      <c r="F15" s="9">
        <f t="shared" si="3"/>
        <v>-3.6144578313252906E-2</v>
      </c>
      <c r="H15" s="19" t="str">
        <f t="shared" si="1"/>
        <v/>
      </c>
      <c r="I15" s="20" t="str">
        <f t="shared" si="2"/>
        <v/>
      </c>
      <c r="M15" s="7"/>
      <c r="O15" s="9"/>
      <c r="P15" s="9"/>
      <c r="S15" s="9"/>
      <c r="U15" s="9"/>
    </row>
    <row r="16" spans="1:21" x14ac:dyDescent="0.3">
      <c r="A16" t="s">
        <v>18</v>
      </c>
      <c r="B16" t="s">
        <v>38</v>
      </c>
      <c r="C16" t="s">
        <v>6</v>
      </c>
      <c r="D16">
        <f>SUMIFS(період!$E$2:$E$4746,період!$A$2:$A$4746,A16,період!$B$2:$B$4746,B16,період!$C$2:$C$4746,C16,період!$D$2:$D$4746,$D$1)</f>
        <v>119.4</v>
      </c>
      <c r="E16">
        <f>SUMIFS(період!$E$2:$E$4746,період!$A$2:$A$4746,A16,період!$B$2:$B$4746,B16,період!$C$2:$C$4746,C16,період!$D$2:$D$4746,$E$1)</f>
        <v>150.69999999999999</v>
      </c>
      <c r="F16" s="9">
        <f t="shared" si="3"/>
        <v>-0.20769741207697401</v>
      </c>
      <c r="H16" s="19" t="str">
        <f t="shared" si="1"/>
        <v/>
      </c>
      <c r="I16" s="20" t="str">
        <f t="shared" si="2"/>
        <v/>
      </c>
      <c r="O16" s="9"/>
      <c r="P16" s="9"/>
      <c r="S16" s="9"/>
      <c r="U16" s="9"/>
    </row>
    <row r="17" spans="1:21" x14ac:dyDescent="0.3">
      <c r="A17" t="s">
        <v>23</v>
      </c>
      <c r="B17" t="s">
        <v>38</v>
      </c>
      <c r="C17" t="s">
        <v>6</v>
      </c>
      <c r="D17">
        <f>SUMIFS(період!$E$2:$E$4746,період!$A$2:$A$4746,A17,період!$B$2:$B$4746,B17,період!$C$2:$C$4746,C17,період!$D$2:$D$4746,$D$1)</f>
        <v>110.5</v>
      </c>
      <c r="E17">
        <f>SUMIFS(період!$E$2:$E$4746,період!$A$2:$A$4746,A17,період!$B$2:$B$4746,B17,період!$C$2:$C$4746,C17,період!$D$2:$D$4746,$E$1)</f>
        <v>150.5</v>
      </c>
      <c r="F17" s="9">
        <f t="shared" si="3"/>
        <v>-0.26578073089700993</v>
      </c>
      <c r="H17" s="19" t="str">
        <f t="shared" si="1"/>
        <v/>
      </c>
      <c r="I17" s="20" t="str">
        <f t="shared" si="2"/>
        <v/>
      </c>
      <c r="O17" s="9"/>
      <c r="P17" s="9"/>
      <c r="S17" s="9"/>
      <c r="U17" s="9"/>
    </row>
    <row r="18" spans="1:21" x14ac:dyDescent="0.3">
      <c r="A18" t="s">
        <v>22</v>
      </c>
      <c r="B18" t="s">
        <v>38</v>
      </c>
      <c r="C18" t="s">
        <v>6</v>
      </c>
      <c r="D18">
        <f>SUMIFS(період!$E$2:$E$4746,період!$A$2:$A$4746,A18,період!$B$2:$B$4746,B18,період!$C$2:$C$4746,C18,період!$D$2:$D$4746,$D$1)</f>
        <v>49.2</v>
      </c>
      <c r="E18">
        <f>SUMIFS(період!$E$2:$E$4746,період!$A$2:$A$4746,A18,період!$B$2:$B$4746,B18,період!$C$2:$C$4746,C18,період!$D$2:$D$4746,$E$1)</f>
        <v>68</v>
      </c>
      <c r="F18" s="9">
        <f t="shared" si="3"/>
        <v>-0.27647058823529402</v>
      </c>
      <c r="H18" s="19" t="str">
        <f t="shared" si="1"/>
        <v/>
      </c>
      <c r="I18" s="20" t="str">
        <f t="shared" si="2"/>
        <v/>
      </c>
      <c r="O18" s="9"/>
      <c r="P18" s="9"/>
      <c r="S18" s="9"/>
      <c r="U18" s="9"/>
    </row>
    <row r="19" spans="1:21" x14ac:dyDescent="0.3">
      <c r="A19" t="s">
        <v>28</v>
      </c>
      <c r="B19" t="s">
        <v>38</v>
      </c>
      <c r="C19" t="s">
        <v>6</v>
      </c>
      <c r="D19">
        <f>SUMIFS(період!$E$2:$E$4746,період!$A$2:$A$4746,A19,період!$B$2:$B$4746,B19,період!$C$2:$C$4746,C19,період!$D$2:$D$4746,$D$1)</f>
        <v>111.2</v>
      </c>
      <c r="E19">
        <f>SUMIFS(період!$E$2:$E$4746,період!$A$2:$A$4746,A19,період!$B$2:$B$4746,B19,період!$C$2:$C$4746,C19,період!$D$2:$D$4746,$E$1)</f>
        <v>225.4</v>
      </c>
      <c r="F19" s="9">
        <f t="shared" si="3"/>
        <v>-0.50665483584738236</v>
      </c>
      <c r="H19" s="19" t="str">
        <f t="shared" si="1"/>
        <v/>
      </c>
      <c r="I19" s="20" t="str">
        <f t="shared" si="2"/>
        <v/>
      </c>
      <c r="O19" s="9"/>
      <c r="P19" s="9"/>
      <c r="S19" s="9"/>
      <c r="U19" s="9"/>
    </row>
    <row r="20" spans="1:21" x14ac:dyDescent="0.3">
      <c r="A20" t="s">
        <v>29</v>
      </c>
      <c r="B20" t="s">
        <v>38</v>
      </c>
      <c r="C20" t="s">
        <v>6</v>
      </c>
      <c r="D20">
        <f>SUMIFS(період!$E$2:$E$4746,період!$A$2:$A$4746,A20,період!$B$2:$B$4746,B20,період!$C$2:$C$4746,C20,період!$D$2:$D$4746,$D$1)</f>
        <v>49.8</v>
      </c>
      <c r="E20">
        <f>SUMIFS(період!$E$2:$E$4746,період!$A$2:$A$4746,A20,період!$B$2:$B$4746,B20,період!$C$2:$C$4746,C20,період!$D$2:$D$4746,$E$1)</f>
        <v>53.2</v>
      </c>
      <c r="F20" s="9">
        <f t="shared" si="3"/>
        <v>-6.3909774436090361E-2</v>
      </c>
      <c r="H20" s="19" t="str">
        <f t="shared" si="1"/>
        <v/>
      </c>
      <c r="I20" s="20" t="str">
        <f t="shared" si="2"/>
        <v/>
      </c>
      <c r="O20" s="9"/>
      <c r="P20" s="9"/>
      <c r="S20" s="9"/>
      <c r="U20" s="9"/>
    </row>
    <row r="21" spans="1:21" x14ac:dyDescent="0.3">
      <c r="A21" t="s">
        <v>24</v>
      </c>
      <c r="B21" t="s">
        <v>38</v>
      </c>
      <c r="C21" t="s">
        <v>6</v>
      </c>
      <c r="D21">
        <f>SUMIFS(період!$E$2:$E$4746,період!$A$2:$A$4746,A21,період!$B$2:$B$4746,B21,період!$C$2:$C$4746,C21,період!$D$2:$D$4746,$D$1)</f>
        <v>0</v>
      </c>
      <c r="E21">
        <f>SUMIFS(період!$E$2:$E$4746,період!$A$2:$A$4746,A21,період!$B$2:$B$4746,B21,період!$C$2:$C$4746,C21,період!$D$2:$D$4746,$E$1)</f>
        <v>0</v>
      </c>
      <c r="F21" s="9">
        <f>IFERROR((D21/E21)-1,0)</f>
        <v>0</v>
      </c>
      <c r="H21" s="19" t="str">
        <f t="shared" si="1"/>
        <v/>
      </c>
      <c r="I21" s="20" t="str">
        <f t="shared" si="2"/>
        <v/>
      </c>
      <c r="O21" s="9"/>
      <c r="P21" s="9"/>
      <c r="S21" s="9"/>
      <c r="U21" s="9"/>
    </row>
    <row r="22" spans="1:21" x14ac:dyDescent="0.3">
      <c r="A22" t="s">
        <v>27</v>
      </c>
      <c r="B22" t="s">
        <v>38</v>
      </c>
      <c r="C22" t="s">
        <v>6</v>
      </c>
      <c r="D22">
        <f>SUMIFS(період!$E$2:$E$4746,період!$A$2:$A$4746,A22,період!$B$2:$B$4746,B22,період!$C$2:$C$4746,C22,період!$D$2:$D$4746,$D$1)</f>
        <v>196.7</v>
      </c>
      <c r="E22">
        <f>SUMIFS(період!$E$2:$E$4746,період!$A$2:$A$4746,A22,період!$B$2:$B$4746,B22,період!$C$2:$C$4746,C22,період!$D$2:$D$4746,$E$1)</f>
        <v>276.5</v>
      </c>
      <c r="F22" s="9">
        <f>(D22/E22)-1</f>
        <v>-0.28860759493670896</v>
      </c>
      <c r="H22" s="19" t="str">
        <f t="shared" si="1"/>
        <v/>
      </c>
      <c r="I22" s="20" t="str">
        <f t="shared" si="2"/>
        <v/>
      </c>
      <c r="O22" s="9"/>
      <c r="P22" s="9"/>
      <c r="S22" s="9"/>
      <c r="U22" s="9"/>
    </row>
    <row r="23" spans="1:21" x14ac:dyDescent="0.3">
      <c r="A23" t="s">
        <v>26</v>
      </c>
      <c r="B23" t="s">
        <v>38</v>
      </c>
      <c r="C23" t="s">
        <v>6</v>
      </c>
      <c r="D23">
        <f>SUMIFS(період!$E$2:$E$4746,період!$A$2:$A$4746,A23,період!$B$2:$B$4746,B23,період!$C$2:$C$4746,C23,період!$D$2:$D$4746,$D$1)</f>
        <v>50.1</v>
      </c>
      <c r="E23">
        <f>SUMIFS(період!$E$2:$E$4746,період!$A$2:$A$4746,A23,період!$B$2:$B$4746,B23,період!$C$2:$C$4746,C23,період!$D$2:$D$4746,$E$1)</f>
        <v>57.9</v>
      </c>
      <c r="F23" s="9">
        <f>(D23/E23)-1</f>
        <v>-0.13471502590673567</v>
      </c>
      <c r="H23" s="19" t="str">
        <f t="shared" si="1"/>
        <v/>
      </c>
      <c r="I23" s="20" t="str">
        <f t="shared" si="2"/>
        <v/>
      </c>
      <c r="M23" s="7"/>
      <c r="O23" s="9"/>
      <c r="P23" s="9"/>
      <c r="S23" s="9"/>
      <c r="U23" s="9"/>
    </row>
    <row r="24" spans="1:21" x14ac:dyDescent="0.3">
      <c r="A24" t="s">
        <v>25</v>
      </c>
      <c r="B24" t="s">
        <v>38</v>
      </c>
      <c r="C24" t="s">
        <v>6</v>
      </c>
      <c r="D24">
        <f>SUMIFS(період!$E$2:$E$4746,період!$A$2:$A$4746,A24,період!$B$2:$B$4746,B24,період!$C$2:$C$4746,C24,період!$D$2:$D$4746,$D$1)</f>
        <v>73.7</v>
      </c>
      <c r="E24">
        <f>SUMIFS(період!$E$2:$E$4746,період!$A$2:$A$4746,A24,період!$B$2:$B$4746,B24,період!$C$2:$C$4746,C24,період!$D$2:$D$4746,$E$1)</f>
        <v>110</v>
      </c>
      <c r="F24" s="9">
        <f>(D24/E24)-1</f>
        <v>-0.32999999999999996</v>
      </c>
      <c r="H24" s="19" t="str">
        <f t="shared" si="1"/>
        <v/>
      </c>
      <c r="I24" s="20" t="str">
        <f t="shared" si="2"/>
        <v/>
      </c>
      <c r="O24" s="9"/>
      <c r="P24" s="9"/>
      <c r="S24" s="9"/>
      <c r="U24" s="9"/>
    </row>
    <row r="25" spans="1:21" x14ac:dyDescent="0.3">
      <c r="A25" t="s">
        <v>30</v>
      </c>
      <c r="B25" t="s">
        <v>38</v>
      </c>
      <c r="C25" t="s">
        <v>6</v>
      </c>
      <c r="D25">
        <f>SUMIFS(період!$E$2:$E$4746,період!$A$2:$A$4746,A25,період!$B$2:$B$4746,B25,період!$C$2:$C$4746,C25,період!$D$2:$D$4746,$D$1)</f>
        <v>93.5</v>
      </c>
      <c r="E25">
        <f>SUMIFS(період!$E$2:$E$4746,період!$A$2:$A$4746,A25,період!$B$2:$B$4746,B25,період!$C$2:$C$4746,C25,період!$D$2:$D$4746,$E$1)</f>
        <v>101.7</v>
      </c>
      <c r="F25" s="9">
        <f>(D25/E25)-1</f>
        <v>-8.0629301868239911E-2</v>
      </c>
      <c r="H25" s="19" t="str">
        <f t="shared" si="1"/>
        <v/>
      </c>
      <c r="I25" s="20" t="str">
        <f t="shared" si="2"/>
        <v/>
      </c>
      <c r="M25" s="7"/>
      <c r="O25" s="9"/>
      <c r="P25" s="9"/>
      <c r="S25" s="9"/>
      <c r="U25" s="9"/>
    </row>
    <row r="26" spans="1:21" x14ac:dyDescent="0.3">
      <c r="G26" s="9"/>
      <c r="H26" s="9"/>
      <c r="O26" s="9"/>
      <c r="P26" s="9"/>
      <c r="S26" s="9"/>
      <c r="U26" s="9"/>
    </row>
  </sheetData>
  <conditionalFormatting sqref="F2:F2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6:H2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2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P2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:S2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4:U2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59B1E-D590-40B0-AEE1-E1A2AB24A37A}">
  <dimension ref="A1:Q25"/>
  <sheetViews>
    <sheetView workbookViewId="0">
      <pane ySplit="1" topLeftCell="A2" activePane="bottomLeft" state="frozen"/>
      <selection pane="bottomLeft" activeCell="I5" sqref="I5"/>
    </sheetView>
  </sheetViews>
  <sheetFormatPr defaultRowHeight="14.4" x14ac:dyDescent="0.3"/>
  <cols>
    <col min="1" max="1" width="18.44140625" style="10" customWidth="1"/>
    <col min="2" max="9" width="8.88671875" style="10"/>
    <col min="18" max="16384" width="8.88671875" style="10"/>
  </cols>
  <sheetData>
    <row r="1" spans="1:8" x14ac:dyDescent="0.3">
      <c r="A1" s="11" t="s">
        <v>9</v>
      </c>
      <c r="B1" s="11" t="s">
        <v>42</v>
      </c>
      <c r="C1" s="11" t="s">
        <v>35</v>
      </c>
      <c r="D1" s="11" t="s">
        <v>44</v>
      </c>
      <c r="E1" s="10">
        <f>SUM(B2:B25)</f>
        <v>4612</v>
      </c>
      <c r="F1" s="11" t="s">
        <v>43</v>
      </c>
      <c r="G1" s="10">
        <f>SUMIFS(B2:B25,C2:C25,"&lt;=6")</f>
        <v>2292.1</v>
      </c>
      <c r="H1" s="12">
        <f>G1/E1*100%</f>
        <v>0.49698612315698176</v>
      </c>
    </row>
    <row r="2" spans="1:8" x14ac:dyDescent="0.3">
      <c r="A2" s="10" t="s">
        <v>18</v>
      </c>
      <c r="B2" s="13">
        <f>SUMIFS(усі!D16:D39,усі!A16:A39,A2)</f>
        <v>476.7</v>
      </c>
      <c r="C2" s="14">
        <f t="shared" ref="C2:C25" si="0">RANK(B2,$B$2:$B$25,0)</f>
        <v>1</v>
      </c>
    </row>
    <row r="3" spans="1:8" x14ac:dyDescent="0.3">
      <c r="A3" s="10" t="s">
        <v>27</v>
      </c>
      <c r="B3" s="13">
        <f>SUMIFS(усі!D22:D45,усі!A22:A45,A3)</f>
        <v>433</v>
      </c>
      <c r="C3" s="14">
        <f t="shared" si="0"/>
        <v>2</v>
      </c>
    </row>
    <row r="4" spans="1:8" x14ac:dyDescent="0.3">
      <c r="A4" s="10" t="s">
        <v>10</v>
      </c>
      <c r="B4" s="13">
        <f>SUMIFS(усі!D2:D25,усі!A2:A25,A4)</f>
        <v>414.4</v>
      </c>
      <c r="C4" s="14">
        <f t="shared" si="0"/>
        <v>3</v>
      </c>
      <c r="G4" s="14"/>
    </row>
    <row r="5" spans="1:8" x14ac:dyDescent="0.3">
      <c r="A5" s="10" t="s">
        <v>26</v>
      </c>
      <c r="B5" s="13">
        <f>SUMIFS(усі!D23:D46,усі!A23:A46,A5)</f>
        <v>348.8</v>
      </c>
      <c r="C5" s="14">
        <f t="shared" si="0"/>
        <v>4</v>
      </c>
    </row>
    <row r="6" spans="1:8" x14ac:dyDescent="0.3">
      <c r="A6" s="10" t="s">
        <v>30</v>
      </c>
      <c r="B6" s="13">
        <f>SUMIFS(усі!D25:D48,усі!A25:A48,A6)</f>
        <v>327.9</v>
      </c>
      <c r="C6" s="14">
        <f t="shared" si="0"/>
        <v>5</v>
      </c>
    </row>
    <row r="7" spans="1:8" x14ac:dyDescent="0.3">
      <c r="A7" s="10" t="s">
        <v>28</v>
      </c>
      <c r="B7" s="13">
        <f>SUMIFS(усі!D19:D42,усі!A19:A42,A7)</f>
        <v>291.3</v>
      </c>
      <c r="C7" s="14">
        <f t="shared" si="0"/>
        <v>6</v>
      </c>
    </row>
    <row r="8" spans="1:8" x14ac:dyDescent="0.3">
      <c r="A8" s="10" t="s">
        <v>12</v>
      </c>
      <c r="B8" s="13">
        <f>SUMIFS(усі!D10:D33,усі!A10:A33,A8)</f>
        <v>255.7</v>
      </c>
      <c r="C8" s="14">
        <f t="shared" si="0"/>
        <v>7</v>
      </c>
    </row>
    <row r="9" spans="1:8" x14ac:dyDescent="0.3">
      <c r="A9" s="10" t="s">
        <v>8</v>
      </c>
      <c r="B9" s="13">
        <f>SUMIFS(усі!D6:D29,усі!A6:A29,A9)</f>
        <v>248.5</v>
      </c>
      <c r="C9" s="14">
        <f t="shared" si="0"/>
        <v>8</v>
      </c>
      <c r="G9" s="14"/>
    </row>
    <row r="10" spans="1:8" x14ac:dyDescent="0.3">
      <c r="A10" s="10" t="s">
        <v>20</v>
      </c>
      <c r="B10" s="13">
        <f>SUMIFS(усі!D15:D38,усі!A15:A38,A10)</f>
        <v>207.6</v>
      </c>
      <c r="C10" s="14">
        <f t="shared" si="0"/>
        <v>9</v>
      </c>
    </row>
    <row r="11" spans="1:8" x14ac:dyDescent="0.3">
      <c r="A11" s="10" t="s">
        <v>7</v>
      </c>
      <c r="B11" s="13">
        <f>SUMIFS(усі!D3:D26,усі!A3:A26,A11)</f>
        <v>189.1</v>
      </c>
      <c r="C11" s="14">
        <f t="shared" si="0"/>
        <v>10</v>
      </c>
      <c r="G11" s="14"/>
    </row>
    <row r="12" spans="1:8" x14ac:dyDescent="0.3">
      <c r="A12" s="10" t="s">
        <v>29</v>
      </c>
      <c r="B12" s="13">
        <f>SUMIFS(усі!D20:D43,усі!A20:A43,A12)</f>
        <v>168.4</v>
      </c>
      <c r="C12" s="14">
        <f t="shared" si="0"/>
        <v>13</v>
      </c>
    </row>
    <row r="13" spans="1:8" x14ac:dyDescent="0.3">
      <c r="A13" s="10" t="s">
        <v>16</v>
      </c>
      <c r="B13" s="13">
        <f>SUMIFS(усі!D11:D34,усі!A11:A34,A13)</f>
        <v>176</v>
      </c>
      <c r="C13" s="14">
        <f t="shared" si="0"/>
        <v>11</v>
      </c>
    </row>
    <row r="14" spans="1:8" x14ac:dyDescent="0.3">
      <c r="A14" s="10" t="s">
        <v>23</v>
      </c>
      <c r="B14" s="13">
        <f>SUMIFS(усі!D17:D40,усі!A17:A40,A14)</f>
        <v>173.3</v>
      </c>
      <c r="C14" s="14">
        <f t="shared" si="0"/>
        <v>12</v>
      </c>
    </row>
    <row r="15" spans="1:8" x14ac:dyDescent="0.3">
      <c r="A15" s="10" t="s">
        <v>21</v>
      </c>
      <c r="B15" s="13">
        <f>SUMIFS(усі!D13:D36,усі!A13:A36,A15)</f>
        <v>160</v>
      </c>
      <c r="C15" s="14">
        <f t="shared" si="0"/>
        <v>14</v>
      </c>
    </row>
    <row r="16" spans="1:8" x14ac:dyDescent="0.3">
      <c r="A16" s="10" t="s">
        <v>22</v>
      </c>
      <c r="B16" s="13">
        <f>SUMIFS(усі!D18:D41,усі!A18:A41,A16)</f>
        <v>149.4</v>
      </c>
      <c r="C16" s="14">
        <f t="shared" si="0"/>
        <v>15</v>
      </c>
    </row>
    <row r="17" spans="1:7" x14ac:dyDescent="0.3">
      <c r="A17" s="10" t="s">
        <v>19</v>
      </c>
      <c r="B17" s="13">
        <f>SUMIFS(усі!D14:D37,усі!A14:A37,A17)</f>
        <v>140.80000000000001</v>
      </c>
      <c r="C17" s="14">
        <f t="shared" si="0"/>
        <v>17</v>
      </c>
    </row>
    <row r="18" spans="1:7" x14ac:dyDescent="0.3">
      <c r="A18" s="10" t="s">
        <v>15</v>
      </c>
      <c r="B18" s="13">
        <f>SUMIFS(усі!D9:D32,усі!A9:A32,A18)</f>
        <v>142.5</v>
      </c>
      <c r="C18" s="14">
        <f t="shared" si="0"/>
        <v>16</v>
      </c>
    </row>
    <row r="19" spans="1:7" x14ac:dyDescent="0.3">
      <c r="A19" s="10" t="s">
        <v>5</v>
      </c>
      <c r="B19" s="13">
        <f>SUMIFS(усі!D4:D27,усі!A4:A27,A19)</f>
        <v>125.8</v>
      </c>
      <c r="C19" s="14">
        <f t="shared" si="0"/>
        <v>18</v>
      </c>
      <c r="G19" s="14"/>
    </row>
    <row r="20" spans="1:7" x14ac:dyDescent="0.3">
      <c r="A20" s="10" t="s">
        <v>25</v>
      </c>
      <c r="B20" s="13">
        <f>SUMIFS(усі!D24:D47,усі!A24:A47,A20)</f>
        <v>78.7</v>
      </c>
      <c r="C20" s="14">
        <f t="shared" si="0"/>
        <v>19</v>
      </c>
    </row>
    <row r="21" spans="1:7" x14ac:dyDescent="0.3">
      <c r="A21" s="10" t="s">
        <v>13</v>
      </c>
      <c r="B21" s="13">
        <f>SUMIFS(усі!D7:D30,усі!A7:A30,A21)</f>
        <v>59.2</v>
      </c>
      <c r="C21" s="14">
        <f t="shared" si="0"/>
        <v>20</v>
      </c>
      <c r="G21" s="14"/>
    </row>
    <row r="22" spans="1:7" x14ac:dyDescent="0.3">
      <c r="A22" s="10" t="s">
        <v>24</v>
      </c>
      <c r="B22" s="13">
        <f>SUMIFS(усі!D21:D44,усі!A21:A44,A22)</f>
        <v>31.8</v>
      </c>
      <c r="C22" s="14">
        <f t="shared" si="0"/>
        <v>21</v>
      </c>
    </row>
    <row r="23" spans="1:7" x14ac:dyDescent="0.3">
      <c r="A23" s="10" t="s">
        <v>14</v>
      </c>
      <c r="B23" s="13">
        <f>SUMIFS(усі!D8:D31,усі!A8:A31,A23)</f>
        <v>8.6</v>
      </c>
      <c r="C23" s="14">
        <f t="shared" si="0"/>
        <v>22</v>
      </c>
      <c r="G23" s="14"/>
    </row>
    <row r="24" spans="1:7" x14ac:dyDescent="0.3">
      <c r="A24" s="10" t="s">
        <v>3</v>
      </c>
      <c r="B24" s="13">
        <f>SUMIFS(усі!D5:D28,усі!A5:A28,A24)</f>
        <v>4.5</v>
      </c>
      <c r="C24" s="14">
        <f t="shared" si="0"/>
        <v>23</v>
      </c>
      <c r="G24" s="14"/>
    </row>
    <row r="25" spans="1:7" x14ac:dyDescent="0.3">
      <c r="A25" s="10" t="s">
        <v>17</v>
      </c>
      <c r="B25" s="13">
        <f>SUMIFS(усі!D12:D35,усі!A12:A35,A25)</f>
        <v>0</v>
      </c>
      <c r="C25" s="14">
        <f t="shared" si="0"/>
        <v>24</v>
      </c>
    </row>
  </sheetData>
  <sortState xmlns:xlrd2="http://schemas.microsoft.com/office/spreadsheetml/2017/richdata2" ref="A2:H25">
    <sortCondition ref="C2:C25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483C8-FBA8-43BB-8C8E-4DB10CE5E666}">
  <dimension ref="A1:H25"/>
  <sheetViews>
    <sheetView workbookViewId="0">
      <pane ySplit="1" topLeftCell="A2" activePane="bottomLeft" state="frozen"/>
      <selection pane="bottomLeft" activeCell="B2" sqref="B2:B6"/>
    </sheetView>
  </sheetViews>
  <sheetFormatPr defaultRowHeight="14.4" x14ac:dyDescent="0.3"/>
  <cols>
    <col min="1" max="8" width="8.88671875" style="10"/>
  </cols>
  <sheetData>
    <row r="1" spans="1:8" x14ac:dyDescent="0.3">
      <c r="A1" s="11" t="s">
        <v>9</v>
      </c>
      <c r="B1" s="11" t="s">
        <v>42</v>
      </c>
      <c r="C1" s="11" t="s">
        <v>35</v>
      </c>
      <c r="D1" s="11" t="s">
        <v>44</v>
      </c>
      <c r="E1" s="10">
        <f>SUM(B2:B25)</f>
        <v>2476.3999999999992</v>
      </c>
      <c r="F1" s="11" t="s">
        <v>43</v>
      </c>
      <c r="G1" s="10">
        <f>SUMIFS(B2:B25,C2:C25,"&lt;=5")</f>
        <v>1349.8</v>
      </c>
      <c r="H1" s="12">
        <f>G1/E1*100%</f>
        <v>0.54506541754159277</v>
      </c>
    </row>
    <row r="2" spans="1:8" x14ac:dyDescent="0.3">
      <c r="A2" s="10" t="s">
        <v>18</v>
      </c>
      <c r="B2" s="13">
        <f>SUMIFS(мтф!D16:D39,мтф!A16:A39,A2)</f>
        <v>357.3</v>
      </c>
      <c r="C2" s="14">
        <f t="shared" ref="C2:C25" si="0">RANK(B2,$B$2:$B$25,0)</f>
        <v>1</v>
      </c>
    </row>
    <row r="3" spans="1:8" x14ac:dyDescent="0.3">
      <c r="A3" s="10" t="s">
        <v>26</v>
      </c>
      <c r="B3" s="13">
        <f>SUMIFS(мтф!D23:D46,мтф!A23:A46,A3)</f>
        <v>298.7</v>
      </c>
      <c r="C3" s="14">
        <f t="shared" si="0"/>
        <v>2</v>
      </c>
    </row>
    <row r="4" spans="1:8" x14ac:dyDescent="0.3">
      <c r="A4" s="10" t="s">
        <v>27</v>
      </c>
      <c r="B4" s="13">
        <f>SUMIFS(мтф!D22:D45,мтф!A22:A45,A4)</f>
        <v>236.3</v>
      </c>
      <c r="C4" s="14">
        <f t="shared" si="0"/>
        <v>3</v>
      </c>
    </row>
    <row r="5" spans="1:8" x14ac:dyDescent="0.3">
      <c r="A5" s="10" t="s">
        <v>30</v>
      </c>
      <c r="B5" s="13">
        <f>SUMIFS(мтф!D25:D48,мтф!A25:A48,A5)</f>
        <v>234.4</v>
      </c>
      <c r="C5" s="14">
        <f t="shared" si="0"/>
        <v>4</v>
      </c>
    </row>
    <row r="6" spans="1:8" x14ac:dyDescent="0.3">
      <c r="A6" s="10" t="s">
        <v>10</v>
      </c>
      <c r="B6" s="13">
        <f>SUMIFS(мтф!D2:D25,мтф!A2:A25,A6)</f>
        <v>223.1</v>
      </c>
      <c r="C6" s="14">
        <f t="shared" si="0"/>
        <v>5</v>
      </c>
      <c r="G6" s="14"/>
    </row>
    <row r="7" spans="1:8" x14ac:dyDescent="0.3">
      <c r="A7" s="10" t="s">
        <v>12</v>
      </c>
      <c r="B7" s="13">
        <f>SUMIFS(мтф!D10:D33,мтф!A10:A33,A7)</f>
        <v>215</v>
      </c>
      <c r="C7" s="14">
        <f t="shared" si="0"/>
        <v>6</v>
      </c>
    </row>
    <row r="8" spans="1:8" x14ac:dyDescent="0.3">
      <c r="A8" s="10" t="s">
        <v>28</v>
      </c>
      <c r="B8" s="13">
        <f>SUMIFS(мтф!D19:D42,мтф!A19:A42,A8)</f>
        <v>180.1</v>
      </c>
      <c r="C8" s="14">
        <f t="shared" si="0"/>
        <v>7</v>
      </c>
    </row>
    <row r="9" spans="1:8" x14ac:dyDescent="0.3">
      <c r="A9" s="10" t="s">
        <v>8</v>
      </c>
      <c r="B9" s="13">
        <f>SUMIFS(мтф!D6:D29,мтф!A6:A29,A9)</f>
        <v>129.19999999999999</v>
      </c>
      <c r="C9" s="14">
        <f t="shared" si="0"/>
        <v>8</v>
      </c>
      <c r="G9" s="14"/>
    </row>
    <row r="10" spans="1:8" x14ac:dyDescent="0.3">
      <c r="A10" s="10" t="s">
        <v>29</v>
      </c>
      <c r="B10" s="13">
        <f>SUMIFS(мтф!D20:D43,мтф!A20:A43,A10)</f>
        <v>118.6</v>
      </c>
      <c r="C10" s="14">
        <f t="shared" si="0"/>
        <v>9</v>
      </c>
    </row>
    <row r="11" spans="1:8" x14ac:dyDescent="0.3">
      <c r="A11" s="10" t="s">
        <v>22</v>
      </c>
      <c r="B11" s="13">
        <f>SUMIFS(мтф!D18:D41,мтф!A18:A41,A11)</f>
        <v>100.2</v>
      </c>
      <c r="C11" s="14">
        <f t="shared" si="0"/>
        <v>10</v>
      </c>
    </row>
    <row r="12" spans="1:8" x14ac:dyDescent="0.3">
      <c r="A12" s="10" t="s">
        <v>7</v>
      </c>
      <c r="B12" s="13">
        <f>SUMIFS(мтф!D3:D26,мтф!A3:A26,A12)</f>
        <v>94.7</v>
      </c>
      <c r="C12" s="14">
        <f t="shared" si="0"/>
        <v>11</v>
      </c>
      <c r="G12" s="14"/>
    </row>
    <row r="13" spans="1:8" x14ac:dyDescent="0.3">
      <c r="A13" s="10" t="s">
        <v>23</v>
      </c>
      <c r="B13" s="13">
        <f>SUMIFS(мтф!D17:D40,мтф!A17:A40,A13)</f>
        <v>62.8</v>
      </c>
      <c r="C13" s="14">
        <f t="shared" si="0"/>
        <v>12</v>
      </c>
    </row>
    <row r="14" spans="1:8" x14ac:dyDescent="0.3">
      <c r="A14" s="10" t="s">
        <v>16</v>
      </c>
      <c r="B14" s="13">
        <f>SUMIFS(мтф!D11:D34,мтф!A11:A34,A14)</f>
        <v>60.6</v>
      </c>
      <c r="C14" s="14">
        <f t="shared" si="0"/>
        <v>13</v>
      </c>
    </row>
    <row r="15" spans="1:8" x14ac:dyDescent="0.3">
      <c r="A15" s="10" t="s">
        <v>19</v>
      </c>
      <c r="B15" s="13">
        <f>SUMIFS(мтф!D14:D37,мтф!A14:A37,A15)</f>
        <v>57.6</v>
      </c>
      <c r="C15" s="14">
        <f t="shared" si="0"/>
        <v>14</v>
      </c>
    </row>
    <row r="16" spans="1:8" x14ac:dyDescent="0.3">
      <c r="A16" s="10" t="s">
        <v>5</v>
      </c>
      <c r="B16" s="13">
        <f>SUMIFS(мтф!D4:D27,мтф!A4:A27,A16)</f>
        <v>40.700000000000003</v>
      </c>
      <c r="C16" s="14">
        <f t="shared" si="0"/>
        <v>15</v>
      </c>
      <c r="G16" s="14"/>
    </row>
    <row r="17" spans="1:7" x14ac:dyDescent="0.3">
      <c r="A17" s="10" t="s">
        <v>21</v>
      </c>
      <c r="B17" s="13">
        <f>SUMIFS(мтф!D13:D36,мтф!A13:A36,A17)</f>
        <v>29.3</v>
      </c>
      <c r="C17" s="14">
        <f t="shared" si="0"/>
        <v>16</v>
      </c>
    </row>
    <row r="18" spans="1:7" x14ac:dyDescent="0.3">
      <c r="A18" s="10" t="s">
        <v>20</v>
      </c>
      <c r="B18" s="13">
        <f>SUMIFS(мтф!D15:D38,мтф!A15:A38,A18)</f>
        <v>15.6</v>
      </c>
      <c r="C18" s="14">
        <f t="shared" si="0"/>
        <v>17</v>
      </c>
    </row>
    <row r="19" spans="1:7" x14ac:dyDescent="0.3">
      <c r="A19" s="10" t="s">
        <v>15</v>
      </c>
      <c r="B19" s="13">
        <f>SUMIFS(мтф!D9:D32,мтф!A9:A32,A19)</f>
        <v>14.6</v>
      </c>
      <c r="C19" s="14">
        <f t="shared" si="0"/>
        <v>18</v>
      </c>
    </row>
    <row r="20" spans="1:7" x14ac:dyDescent="0.3">
      <c r="A20" s="10" t="s">
        <v>25</v>
      </c>
      <c r="B20" s="13">
        <f>SUMIFS(мтф!D24:D47,мтф!A24:A47,A20)</f>
        <v>5</v>
      </c>
      <c r="C20" s="14">
        <f t="shared" si="0"/>
        <v>19</v>
      </c>
    </row>
    <row r="21" spans="1:7" x14ac:dyDescent="0.3">
      <c r="A21" s="10" t="s">
        <v>14</v>
      </c>
      <c r="B21" s="13">
        <f>SUMIFS(мтф!D8:D31,мтф!A8:A31,A21)</f>
        <v>1.7</v>
      </c>
      <c r="C21" s="14">
        <f t="shared" si="0"/>
        <v>20</v>
      </c>
      <c r="G21" s="14"/>
    </row>
    <row r="22" spans="1:7" x14ac:dyDescent="0.3">
      <c r="A22" s="10" t="s">
        <v>13</v>
      </c>
      <c r="B22" s="13">
        <f>SUMIFS(мтф!D7:D30,мтф!A7:A30,A22)</f>
        <v>0.9</v>
      </c>
      <c r="C22" s="14">
        <f t="shared" si="0"/>
        <v>21</v>
      </c>
      <c r="G22" s="14"/>
    </row>
    <row r="23" spans="1:7" x14ac:dyDescent="0.3">
      <c r="A23" s="10" t="s">
        <v>3</v>
      </c>
      <c r="B23" s="13">
        <f>SUMIFS(мтф!D5:D28,мтф!A5:A28,A23)</f>
        <v>0</v>
      </c>
      <c r="C23" s="14">
        <f t="shared" si="0"/>
        <v>22</v>
      </c>
      <c r="G23" s="14"/>
    </row>
    <row r="24" spans="1:7" x14ac:dyDescent="0.3">
      <c r="A24" s="10" t="s">
        <v>17</v>
      </c>
      <c r="B24" s="13">
        <f>SUMIFS(мтф!D12:D35,мтф!A12:A35,A24)</f>
        <v>0</v>
      </c>
      <c r="C24" s="14">
        <f t="shared" si="0"/>
        <v>22</v>
      </c>
    </row>
    <row r="25" spans="1:7" x14ac:dyDescent="0.3">
      <c r="A25" s="10" t="s">
        <v>24</v>
      </c>
      <c r="B25" s="13">
        <f>SUMIFS(мтф!D21:D44,мтф!A21:A44,A25)</f>
        <v>0</v>
      </c>
      <c r="C25" s="14">
        <f t="shared" si="0"/>
        <v>22</v>
      </c>
    </row>
  </sheetData>
  <sortState xmlns:xlrd2="http://schemas.microsoft.com/office/spreadsheetml/2017/richdata2" ref="A2:H25">
    <sortCondition ref="C2:C25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82199-F7EB-4802-8ED0-AE0D1D181518}">
  <dimension ref="A1:D10"/>
  <sheetViews>
    <sheetView zoomScaleNormal="100" workbookViewId="0">
      <selection activeCell="B2" sqref="B2"/>
    </sheetView>
  </sheetViews>
  <sheetFormatPr defaultRowHeight="14.4" x14ac:dyDescent="0.3"/>
  <cols>
    <col min="1" max="1" width="8.88671875" style="21"/>
    <col min="2" max="4" width="10.109375" style="21" bestFit="1" customWidth="1"/>
    <col min="5" max="16384" width="8.88671875" style="21"/>
  </cols>
  <sheetData>
    <row r="1" spans="1:4" x14ac:dyDescent="0.3">
      <c r="B1" s="24">
        <f>Лист1!D$1</f>
        <v>46266</v>
      </c>
      <c r="C1" s="24">
        <f>Лист1!E$1</f>
        <v>46235</v>
      </c>
      <c r="D1" s="24">
        <f>Лист1!F$1</f>
        <v>45901</v>
      </c>
    </row>
    <row r="2" spans="1:4" x14ac:dyDescent="0.3">
      <c r="A2" s="21" t="s">
        <v>45</v>
      </c>
      <c r="B2" s="26">
        <f>Лист1!D3</f>
        <v>266.39999999999964</v>
      </c>
      <c r="C2" s="26">
        <f>Лист1!E3</f>
        <v>275.70000000000027</v>
      </c>
      <c r="D2" s="26">
        <f>Лист1!F3</f>
        <v>278.79999999999973</v>
      </c>
    </row>
    <row r="3" spans="1:4" x14ac:dyDescent="0.3">
      <c r="A3" s="21" t="s">
        <v>6</v>
      </c>
      <c r="B3" s="26">
        <f>Лист1!D4</f>
        <v>243.00000000000023</v>
      </c>
      <c r="C3" s="26">
        <f>Лист1!E4</f>
        <v>268</v>
      </c>
      <c r="D3" s="26">
        <f>Лист1!F4</f>
        <v>334</v>
      </c>
    </row>
    <row r="8" spans="1:4" x14ac:dyDescent="0.3">
      <c r="A8" s="21" t="s">
        <v>36</v>
      </c>
    </row>
    <row r="9" spans="1:4" x14ac:dyDescent="0.3">
      <c r="A9" s="21" t="s">
        <v>46</v>
      </c>
    </row>
    <row r="10" spans="1:4" x14ac:dyDescent="0.3">
      <c r="A10" s="21" t="s">
        <v>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9</vt:i4>
      </vt:variant>
    </vt:vector>
  </HeadingPairs>
  <TitlesOfParts>
    <vt:vector size="9" baseType="lpstr">
      <vt:lpstr>період</vt:lpstr>
      <vt:lpstr>місяць</vt:lpstr>
      <vt:lpstr>Лист1</vt:lpstr>
      <vt:lpstr>усі</vt:lpstr>
      <vt:lpstr>мтф</vt:lpstr>
      <vt:lpstr>осг</vt:lpstr>
      <vt:lpstr>р. усі</vt:lpstr>
      <vt:lpstr>р. мтф</vt:lpstr>
      <vt:lpstr>діаграма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Georgii</cp:lastModifiedBy>
  <dcterms:created xsi:type="dcterms:W3CDTF">2025-12-17T08:01:50Z</dcterms:created>
  <dcterms:modified xsi:type="dcterms:W3CDTF">2026-10-25T12:49:06Z</dcterms:modified>
</cp:coreProperties>
</file>